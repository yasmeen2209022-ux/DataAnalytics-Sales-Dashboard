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harts/chart1.xml" ContentType="application/vnd.openxmlformats-officedocument.drawingml.chart+xml"/>
  <Override PartName="/xl/charts/chart2.xml" ContentType="application/vnd.openxmlformats-officedocument.drawingml.chart+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drawings/drawing2.xml" ContentType="application/vnd.openxmlformats-officedocument.drawing+xml"/>
  <Override PartName="/xl/slicers/slicer1.xml" ContentType="application/vnd.ms-excel.slicer+xml"/>
  <Override PartName="/xl/charts/chart3.xml" ContentType="application/vnd.openxmlformats-officedocument.drawingml.chart+xml"/>
  <Override PartName="/xl/charts/chart4.xml" ContentType="application/vnd.openxmlformats-officedocument.drawingml.chart+xml"/>
  <Override PartName="/xl/charts/chart5.xml" ContentType="application/vnd.openxmlformats-officedocument.drawingml.chart+xml"/>
  <Override PartName="/xl/charts/chart6.xml" ContentType="application/vnd.openxmlformats-officedocument.drawingml.chart+xml"/>
  <Override PartName="/xl/charts/chart7.xml" ContentType="application/vnd.openxmlformats-officedocument.drawingml.chart+xml"/>
  <Override PartName="/xl/drawings/drawing3.xml" ContentType="application/vnd.openxmlformats-officedocument.drawing+xml"/>
  <Override PartName="/xl/slicers/slicer2.xml" ContentType="application/vnd.ms-excel.slicer+xml"/>
  <Override PartName="/xl/charts/chart8.xml" ContentType="application/vnd.openxmlformats-officedocument.drawingml.chart+xml"/>
  <Override PartName="/xl/charts/chart9.xml" ContentType="application/vnd.openxmlformats-officedocument.drawingml.chart+xml"/>
  <Override PartName="/xl/charts/chart10.xml" ContentType="application/vnd.openxmlformats-officedocument.drawingml.chart+xml"/>
  <Override PartName="/xl/charts/chart11.xml" ContentType="application/vnd.openxmlformats-officedocument.drawingml.chart+xml"/>
  <Override PartName="/xl/charts/chart12.xml" ContentType="application/vnd.openxmlformats-officedocument.drawingml.chart+xml"/>
  <Override PartName="/xl/charts/chart13.xml" ContentType="application/vnd.openxmlformats-officedocument.drawingml.chart+xml"/>
  <Override PartName="/xl/charts/chart14.xml" ContentType="application/vnd.openxmlformats-officedocument.drawingml.chart+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5" lowestEdited="5" rupBuild="9302"/>
  <workbookPr hidePivotFieldList="1"/>
  <bookViews>
    <workbookView xWindow="-405" yWindow="60" windowWidth="20730" windowHeight="11760" activeTab="2"/>
  </bookViews>
  <sheets>
    <sheet name="data" sheetId="2" r:id="rId1"/>
    <sheet name="pivot table and chart" sheetId="4" r:id="rId2"/>
    <sheet name="dashboard" sheetId="5" r:id="rId3"/>
  </sheets>
  <definedNames>
    <definedName name="_xlnm.Print_Area" localSheetId="2">dashboard!$A$1:$T$41</definedName>
    <definedName name="Slicer_Category">#N/A</definedName>
    <definedName name="Slicer_CustomerRegion">#N/A</definedName>
  </definedNames>
  <calcPr calcId="144525"/>
  <pivotCaches>
    <pivotCache cacheId="0" r:id="rId4"/>
  </pivotCaches>
  <extLst>
    <ext xmlns:x14="http://schemas.microsoft.com/office/spreadsheetml/2009/9/main" uri="{BBE1A952-AA13-448e-AADC-164F8A28A991}">
      <x14:slicerCaches>
        <x14:slicerCache r:id="rId5"/>
        <x14:slicerCache r:id="rId6"/>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AA3" i="2" l="1"/>
  <c r="AA4" i="2"/>
  <c r="AA5" i="2"/>
  <c r="AA6" i="2"/>
  <c r="AA7" i="2"/>
  <c r="AA2" i="2"/>
  <c r="W5" i="2"/>
  <c r="X5" i="2"/>
  <c r="X3" i="2"/>
  <c r="X4" i="2"/>
  <c r="X2" i="2"/>
  <c r="W2" i="2"/>
  <c r="W3" i="2"/>
  <c r="W4" i="2"/>
  <c r="G3" i="2" l="1"/>
  <c r="M3" i="2" s="1"/>
  <c r="G4" i="2"/>
  <c r="M4" i="2" s="1"/>
  <c r="G5" i="2"/>
  <c r="M5" i="2" s="1"/>
  <c r="G6" i="2"/>
  <c r="G7" i="2"/>
  <c r="G8" i="2"/>
  <c r="G9" i="2"/>
  <c r="G10" i="2"/>
  <c r="M10" i="2" s="1"/>
  <c r="G11" i="2"/>
  <c r="M11" i="2" s="1"/>
  <c r="G12" i="2"/>
  <c r="M12" i="2" s="1"/>
  <c r="G13" i="2"/>
  <c r="M13" i="2" s="1"/>
  <c r="G14" i="2"/>
  <c r="M14" i="2" s="1"/>
  <c r="G15" i="2"/>
  <c r="M15" i="2" s="1"/>
  <c r="G16" i="2"/>
  <c r="M16" i="2" s="1"/>
  <c r="G17" i="2"/>
  <c r="M17" i="2" s="1"/>
  <c r="G18" i="2"/>
  <c r="M18" i="2" s="1"/>
  <c r="G19" i="2"/>
  <c r="M19" i="2" s="1"/>
  <c r="G20" i="2"/>
  <c r="M20" i="2" s="1"/>
  <c r="G21" i="2"/>
  <c r="M21" i="2" s="1"/>
  <c r="G22" i="2"/>
  <c r="M22" i="2" s="1"/>
  <c r="G23" i="2"/>
  <c r="M23" i="2" s="1"/>
  <c r="G24" i="2"/>
  <c r="M24" i="2" s="1"/>
  <c r="G25" i="2"/>
  <c r="M25" i="2" s="1"/>
  <c r="G26" i="2"/>
  <c r="M26" i="2" s="1"/>
  <c r="G27" i="2"/>
  <c r="M27" i="2" s="1"/>
  <c r="G28" i="2"/>
  <c r="M28" i="2" s="1"/>
  <c r="G29" i="2"/>
  <c r="M29" i="2" s="1"/>
  <c r="G30" i="2"/>
  <c r="M30" i="2" s="1"/>
  <c r="G31" i="2"/>
  <c r="M31" i="2" s="1"/>
  <c r="G32" i="2"/>
  <c r="M32" i="2" s="1"/>
  <c r="G33" i="2"/>
  <c r="M33" i="2" s="1"/>
  <c r="G34" i="2"/>
  <c r="M34" i="2" s="1"/>
  <c r="G35" i="2"/>
  <c r="M35" i="2" s="1"/>
  <c r="G36" i="2"/>
  <c r="M36" i="2" s="1"/>
  <c r="G37" i="2"/>
  <c r="M37" i="2" s="1"/>
  <c r="G38" i="2"/>
  <c r="M38" i="2" s="1"/>
  <c r="G39" i="2"/>
  <c r="M39" i="2" s="1"/>
  <c r="G40" i="2"/>
  <c r="M40" i="2" s="1"/>
  <c r="G41" i="2"/>
  <c r="M41" i="2" s="1"/>
  <c r="G42" i="2"/>
  <c r="M42" i="2" s="1"/>
  <c r="G43" i="2"/>
  <c r="M43" i="2" s="1"/>
  <c r="G44" i="2"/>
  <c r="M44" i="2" s="1"/>
  <c r="G45" i="2"/>
  <c r="M45" i="2" s="1"/>
  <c r="G46" i="2"/>
  <c r="M46" i="2" s="1"/>
  <c r="G47" i="2"/>
  <c r="M47" i="2" s="1"/>
  <c r="G48" i="2"/>
  <c r="M48" i="2" s="1"/>
  <c r="G49" i="2"/>
  <c r="M49" i="2" s="1"/>
  <c r="G50" i="2"/>
  <c r="M50" i="2" s="1"/>
  <c r="G51" i="2"/>
  <c r="M51" i="2" s="1"/>
  <c r="G52" i="2"/>
  <c r="M52" i="2" s="1"/>
  <c r="G53" i="2"/>
  <c r="M53" i="2" s="1"/>
  <c r="G54" i="2"/>
  <c r="M54" i="2" s="1"/>
  <c r="G55" i="2"/>
  <c r="M55" i="2" s="1"/>
  <c r="G56" i="2"/>
  <c r="M56" i="2" s="1"/>
  <c r="G57" i="2"/>
  <c r="M57" i="2" s="1"/>
  <c r="G58" i="2"/>
  <c r="M58" i="2" s="1"/>
  <c r="G59" i="2"/>
  <c r="M59" i="2" s="1"/>
  <c r="G60" i="2"/>
  <c r="M60" i="2" s="1"/>
  <c r="G61" i="2"/>
  <c r="M61" i="2" s="1"/>
  <c r="G62" i="2"/>
  <c r="M62" i="2" s="1"/>
  <c r="G63" i="2"/>
  <c r="M63" i="2" s="1"/>
  <c r="G64" i="2"/>
  <c r="M64" i="2" s="1"/>
  <c r="G65" i="2"/>
  <c r="M65" i="2" s="1"/>
  <c r="G66" i="2"/>
  <c r="M66" i="2" s="1"/>
  <c r="G67" i="2"/>
  <c r="M67" i="2" s="1"/>
  <c r="G68" i="2"/>
  <c r="M68" i="2" s="1"/>
  <c r="G69" i="2"/>
  <c r="M69" i="2" s="1"/>
  <c r="G70" i="2"/>
  <c r="M70" i="2" s="1"/>
  <c r="G71" i="2"/>
  <c r="M71" i="2" s="1"/>
  <c r="G72" i="2"/>
  <c r="M72" i="2" s="1"/>
  <c r="G73" i="2"/>
  <c r="M73" i="2" s="1"/>
  <c r="G74" i="2"/>
  <c r="M74" i="2" s="1"/>
  <c r="G75" i="2"/>
  <c r="M75" i="2" s="1"/>
  <c r="G76" i="2"/>
  <c r="M76" i="2" s="1"/>
  <c r="G77" i="2"/>
  <c r="M77" i="2" s="1"/>
  <c r="G78" i="2"/>
  <c r="M78" i="2" s="1"/>
  <c r="G79" i="2"/>
  <c r="M79" i="2" s="1"/>
  <c r="G80" i="2"/>
  <c r="M80" i="2" s="1"/>
  <c r="G81" i="2"/>
  <c r="M81" i="2" s="1"/>
  <c r="G82" i="2"/>
  <c r="M82" i="2" s="1"/>
  <c r="G83" i="2"/>
  <c r="M83" i="2" s="1"/>
  <c r="G84" i="2"/>
  <c r="M84" i="2" s="1"/>
  <c r="G85" i="2"/>
  <c r="M85" i="2" s="1"/>
  <c r="G86" i="2"/>
  <c r="M86" i="2" s="1"/>
  <c r="G87" i="2"/>
  <c r="M87" i="2" s="1"/>
  <c r="G88" i="2"/>
  <c r="M88" i="2" s="1"/>
  <c r="G89" i="2"/>
  <c r="M89" i="2" s="1"/>
  <c r="G90" i="2"/>
  <c r="M90" i="2" s="1"/>
  <c r="G91" i="2"/>
  <c r="M91" i="2" s="1"/>
  <c r="G92" i="2"/>
  <c r="M92" i="2" s="1"/>
  <c r="G93" i="2"/>
  <c r="M93" i="2" s="1"/>
  <c r="G94" i="2"/>
  <c r="M94" i="2" s="1"/>
  <c r="G95" i="2"/>
  <c r="M95" i="2" s="1"/>
  <c r="G96" i="2"/>
  <c r="M96" i="2" s="1"/>
  <c r="G97" i="2"/>
  <c r="M97" i="2" s="1"/>
  <c r="G98" i="2"/>
  <c r="M98" i="2" s="1"/>
  <c r="G99" i="2"/>
  <c r="M99" i="2" s="1"/>
  <c r="G100" i="2"/>
  <c r="M100" i="2" s="1"/>
  <c r="G101" i="2"/>
  <c r="M101" i="2" s="1"/>
  <c r="G102" i="2"/>
  <c r="M102" i="2" s="1"/>
  <c r="G103" i="2"/>
  <c r="M103" i="2" s="1"/>
  <c r="G104" i="2"/>
  <c r="M104" i="2" s="1"/>
  <c r="G105" i="2"/>
  <c r="M105" i="2" s="1"/>
  <c r="G106" i="2"/>
  <c r="M106" i="2" s="1"/>
  <c r="G107" i="2"/>
  <c r="M107" i="2" s="1"/>
  <c r="G108" i="2"/>
  <c r="M108" i="2" s="1"/>
  <c r="G109" i="2"/>
  <c r="M109" i="2" s="1"/>
  <c r="G110" i="2"/>
  <c r="M110" i="2" s="1"/>
  <c r="G111" i="2"/>
  <c r="M111" i="2" s="1"/>
  <c r="G112" i="2"/>
  <c r="M112" i="2" s="1"/>
  <c r="G113" i="2"/>
  <c r="M113" i="2" s="1"/>
  <c r="G114" i="2"/>
  <c r="M114" i="2" s="1"/>
  <c r="G115" i="2"/>
  <c r="M115" i="2" s="1"/>
  <c r="G116" i="2"/>
  <c r="M116" i="2" s="1"/>
  <c r="G117" i="2"/>
  <c r="M117" i="2" s="1"/>
  <c r="G118" i="2"/>
  <c r="M118" i="2" s="1"/>
  <c r="G119" i="2"/>
  <c r="M119" i="2" s="1"/>
  <c r="G120" i="2"/>
  <c r="M120" i="2" s="1"/>
  <c r="G121" i="2"/>
  <c r="M121" i="2" s="1"/>
  <c r="G122" i="2"/>
  <c r="M122" i="2" s="1"/>
  <c r="G123" i="2"/>
  <c r="M123" i="2" s="1"/>
  <c r="G124" i="2"/>
  <c r="M124" i="2" s="1"/>
  <c r="G125" i="2"/>
  <c r="M125" i="2" s="1"/>
  <c r="G126" i="2"/>
  <c r="M126" i="2" s="1"/>
  <c r="G127" i="2"/>
  <c r="M127" i="2" s="1"/>
  <c r="G128" i="2"/>
  <c r="M128" i="2" s="1"/>
  <c r="G129" i="2"/>
  <c r="M129" i="2" s="1"/>
  <c r="G130" i="2"/>
  <c r="M130" i="2" s="1"/>
  <c r="G131" i="2"/>
  <c r="M131" i="2" s="1"/>
  <c r="G132" i="2"/>
  <c r="M132" i="2" s="1"/>
  <c r="G133" i="2"/>
  <c r="M133" i="2" s="1"/>
  <c r="G134" i="2"/>
  <c r="M134" i="2" s="1"/>
  <c r="G135" i="2"/>
  <c r="M135" i="2" s="1"/>
  <c r="G136" i="2"/>
  <c r="M136" i="2" s="1"/>
  <c r="G137" i="2"/>
  <c r="M137" i="2" s="1"/>
  <c r="G138" i="2"/>
  <c r="M138" i="2" s="1"/>
  <c r="G139" i="2"/>
  <c r="M139" i="2" s="1"/>
  <c r="G140" i="2"/>
  <c r="M140" i="2" s="1"/>
  <c r="G141" i="2"/>
  <c r="M141" i="2" s="1"/>
  <c r="G142" i="2"/>
  <c r="M142" i="2" s="1"/>
  <c r="G143" i="2"/>
  <c r="M143" i="2" s="1"/>
  <c r="G144" i="2"/>
  <c r="M144" i="2" s="1"/>
  <c r="G145" i="2"/>
  <c r="M145" i="2" s="1"/>
  <c r="G146" i="2"/>
  <c r="M146" i="2" s="1"/>
  <c r="G147" i="2"/>
  <c r="M147" i="2" s="1"/>
  <c r="G148" i="2"/>
  <c r="M148" i="2" s="1"/>
  <c r="G149" i="2"/>
  <c r="M149" i="2" s="1"/>
  <c r="G150" i="2"/>
  <c r="M150" i="2" s="1"/>
  <c r="G151" i="2"/>
  <c r="M151" i="2" s="1"/>
  <c r="G152" i="2"/>
  <c r="M152" i="2" s="1"/>
  <c r="G153" i="2"/>
  <c r="M153" i="2" s="1"/>
  <c r="G154" i="2"/>
  <c r="M154" i="2" s="1"/>
  <c r="G155" i="2"/>
  <c r="M155" i="2" s="1"/>
  <c r="G156" i="2"/>
  <c r="M156" i="2" s="1"/>
  <c r="G157" i="2"/>
  <c r="M157" i="2" s="1"/>
  <c r="G158" i="2"/>
  <c r="M158" i="2" s="1"/>
  <c r="G159" i="2"/>
  <c r="M159" i="2" s="1"/>
  <c r="G160" i="2"/>
  <c r="M160" i="2" s="1"/>
  <c r="G161" i="2"/>
  <c r="M161" i="2" s="1"/>
  <c r="G162" i="2"/>
  <c r="M162" i="2" s="1"/>
  <c r="G163" i="2"/>
  <c r="M163" i="2" s="1"/>
  <c r="G164" i="2"/>
  <c r="M164" i="2" s="1"/>
  <c r="G165" i="2"/>
  <c r="M165" i="2" s="1"/>
  <c r="G166" i="2"/>
  <c r="M166" i="2" s="1"/>
  <c r="G167" i="2"/>
  <c r="M167" i="2" s="1"/>
  <c r="G168" i="2"/>
  <c r="M168" i="2" s="1"/>
  <c r="G169" i="2"/>
  <c r="M169" i="2" s="1"/>
  <c r="G170" i="2"/>
  <c r="M170" i="2" s="1"/>
  <c r="G171" i="2"/>
  <c r="M171" i="2" s="1"/>
  <c r="G172" i="2"/>
  <c r="M172" i="2" s="1"/>
  <c r="G173" i="2"/>
  <c r="M173" i="2" s="1"/>
  <c r="G174" i="2"/>
  <c r="M174" i="2" s="1"/>
  <c r="G175" i="2"/>
  <c r="M175" i="2" s="1"/>
  <c r="G176" i="2"/>
  <c r="M176" i="2" s="1"/>
  <c r="G177" i="2"/>
  <c r="M177" i="2" s="1"/>
  <c r="G178" i="2"/>
  <c r="M178" i="2" s="1"/>
  <c r="G179" i="2"/>
  <c r="M179" i="2" s="1"/>
  <c r="G180" i="2"/>
  <c r="M180" i="2" s="1"/>
  <c r="G181" i="2"/>
  <c r="M181" i="2" s="1"/>
  <c r="G182" i="2"/>
  <c r="M182" i="2" s="1"/>
  <c r="G183" i="2"/>
  <c r="M183" i="2" s="1"/>
  <c r="G184" i="2"/>
  <c r="M184" i="2" s="1"/>
  <c r="G185" i="2"/>
  <c r="M185" i="2" s="1"/>
  <c r="G186" i="2"/>
  <c r="M186" i="2" s="1"/>
  <c r="G187" i="2"/>
  <c r="M187" i="2" s="1"/>
  <c r="G188" i="2"/>
  <c r="M188" i="2" s="1"/>
  <c r="G189" i="2"/>
  <c r="M189" i="2" s="1"/>
  <c r="G190" i="2"/>
  <c r="M190" i="2" s="1"/>
  <c r="G191" i="2"/>
  <c r="M191" i="2" s="1"/>
  <c r="G192" i="2"/>
  <c r="M192" i="2" s="1"/>
  <c r="G193" i="2"/>
  <c r="M193" i="2" s="1"/>
  <c r="G194" i="2"/>
  <c r="M194" i="2" s="1"/>
  <c r="G195" i="2"/>
  <c r="M195" i="2" s="1"/>
  <c r="G196" i="2"/>
  <c r="M196" i="2" s="1"/>
  <c r="G197" i="2"/>
  <c r="M197" i="2" s="1"/>
  <c r="G198" i="2"/>
  <c r="M198" i="2" s="1"/>
  <c r="G199" i="2"/>
  <c r="M199" i="2" s="1"/>
  <c r="G200" i="2"/>
  <c r="M200" i="2" s="1"/>
  <c r="G201" i="2"/>
  <c r="M201" i="2" s="1"/>
  <c r="G202" i="2"/>
  <c r="M202" i="2" s="1"/>
  <c r="G203" i="2"/>
  <c r="M203" i="2" s="1"/>
  <c r="G204" i="2"/>
  <c r="M204" i="2" s="1"/>
  <c r="G205" i="2"/>
  <c r="M205" i="2" s="1"/>
  <c r="G206" i="2"/>
  <c r="M206" i="2" s="1"/>
  <c r="G207" i="2"/>
  <c r="M207" i="2" s="1"/>
  <c r="G208" i="2"/>
  <c r="M208" i="2" s="1"/>
  <c r="G209" i="2"/>
  <c r="M209" i="2" s="1"/>
  <c r="G210" i="2"/>
  <c r="M210" i="2" s="1"/>
  <c r="G211" i="2"/>
  <c r="M211" i="2" s="1"/>
  <c r="G212" i="2"/>
  <c r="M212" i="2" s="1"/>
  <c r="G213" i="2"/>
  <c r="M213" i="2" s="1"/>
  <c r="G214" i="2"/>
  <c r="M214" i="2" s="1"/>
  <c r="G215" i="2"/>
  <c r="M215" i="2" s="1"/>
  <c r="G216" i="2"/>
  <c r="M216" i="2" s="1"/>
  <c r="G217" i="2"/>
  <c r="M217" i="2" s="1"/>
  <c r="G218" i="2"/>
  <c r="M218" i="2" s="1"/>
  <c r="G219" i="2"/>
  <c r="M219" i="2" s="1"/>
  <c r="G220" i="2"/>
  <c r="M220" i="2" s="1"/>
  <c r="G221" i="2"/>
  <c r="M221" i="2" s="1"/>
  <c r="G222" i="2"/>
  <c r="M222" i="2" s="1"/>
  <c r="G223" i="2"/>
  <c r="M223" i="2" s="1"/>
  <c r="G224" i="2"/>
  <c r="M224" i="2" s="1"/>
  <c r="G225" i="2"/>
  <c r="M225" i="2" s="1"/>
  <c r="G226" i="2"/>
  <c r="M226" i="2" s="1"/>
  <c r="G227" i="2"/>
  <c r="M227" i="2" s="1"/>
  <c r="G228" i="2"/>
  <c r="M228" i="2" s="1"/>
  <c r="G229" i="2"/>
  <c r="M229" i="2" s="1"/>
  <c r="G230" i="2"/>
  <c r="M230" i="2" s="1"/>
  <c r="G231" i="2"/>
  <c r="M231" i="2" s="1"/>
  <c r="G232" i="2"/>
  <c r="M232" i="2" s="1"/>
  <c r="G233" i="2"/>
  <c r="M233" i="2" s="1"/>
  <c r="G234" i="2"/>
  <c r="M234" i="2" s="1"/>
  <c r="G235" i="2"/>
  <c r="M235" i="2" s="1"/>
  <c r="G236" i="2"/>
  <c r="M236" i="2" s="1"/>
  <c r="G237" i="2"/>
  <c r="M237" i="2" s="1"/>
  <c r="G238" i="2"/>
  <c r="M238" i="2" s="1"/>
  <c r="G239" i="2"/>
  <c r="M239" i="2" s="1"/>
  <c r="G240" i="2"/>
  <c r="M240" i="2" s="1"/>
  <c r="G241" i="2"/>
  <c r="M241" i="2" s="1"/>
  <c r="G242" i="2"/>
  <c r="M242" i="2" s="1"/>
  <c r="G243" i="2"/>
  <c r="M243" i="2" s="1"/>
  <c r="G244" i="2"/>
  <c r="M244" i="2" s="1"/>
  <c r="G245" i="2"/>
  <c r="M245" i="2" s="1"/>
  <c r="G246" i="2"/>
  <c r="M246" i="2" s="1"/>
  <c r="G247" i="2"/>
  <c r="M247" i="2" s="1"/>
  <c r="G248" i="2"/>
  <c r="M248" i="2" s="1"/>
  <c r="G249" i="2"/>
  <c r="M249" i="2" s="1"/>
  <c r="G250" i="2"/>
  <c r="M250" i="2" s="1"/>
  <c r="G251" i="2"/>
  <c r="M251" i="2" s="1"/>
  <c r="G252" i="2"/>
  <c r="M252" i="2" s="1"/>
  <c r="G253" i="2"/>
  <c r="M253" i="2" s="1"/>
  <c r="G254" i="2"/>
  <c r="M254" i="2" s="1"/>
  <c r="G255" i="2"/>
  <c r="M255" i="2" s="1"/>
  <c r="G256" i="2"/>
  <c r="M256" i="2" s="1"/>
  <c r="G257" i="2"/>
  <c r="M257" i="2" s="1"/>
  <c r="G258" i="2"/>
  <c r="M258" i="2" s="1"/>
  <c r="G259" i="2"/>
  <c r="M259" i="2" s="1"/>
  <c r="G260" i="2"/>
  <c r="M260" i="2" s="1"/>
  <c r="G261" i="2"/>
  <c r="M261" i="2" s="1"/>
  <c r="G262" i="2"/>
  <c r="M262" i="2" s="1"/>
  <c r="G263" i="2"/>
  <c r="M263" i="2" s="1"/>
  <c r="G264" i="2"/>
  <c r="M264" i="2" s="1"/>
  <c r="G265" i="2"/>
  <c r="M265" i="2" s="1"/>
  <c r="G266" i="2"/>
  <c r="M266" i="2" s="1"/>
  <c r="G267" i="2"/>
  <c r="M267" i="2" s="1"/>
  <c r="G268" i="2"/>
  <c r="M268" i="2" s="1"/>
  <c r="G269" i="2"/>
  <c r="M269" i="2" s="1"/>
  <c r="G270" i="2"/>
  <c r="M270" i="2" s="1"/>
  <c r="G271" i="2"/>
  <c r="M271" i="2" s="1"/>
  <c r="G272" i="2"/>
  <c r="M272" i="2" s="1"/>
  <c r="G273" i="2"/>
  <c r="M273" i="2" s="1"/>
  <c r="G274" i="2"/>
  <c r="M274" i="2" s="1"/>
  <c r="G275" i="2"/>
  <c r="M275" i="2" s="1"/>
  <c r="G276" i="2"/>
  <c r="M276" i="2" s="1"/>
  <c r="G277" i="2"/>
  <c r="M277" i="2" s="1"/>
  <c r="G278" i="2"/>
  <c r="M278" i="2" s="1"/>
  <c r="G279" i="2"/>
  <c r="M279" i="2" s="1"/>
  <c r="G280" i="2"/>
  <c r="M280" i="2" s="1"/>
  <c r="G281" i="2"/>
  <c r="M281" i="2" s="1"/>
  <c r="G282" i="2"/>
  <c r="M282" i="2" s="1"/>
  <c r="G283" i="2"/>
  <c r="M283" i="2" s="1"/>
  <c r="G284" i="2"/>
  <c r="M284" i="2" s="1"/>
  <c r="G285" i="2"/>
  <c r="M285" i="2" s="1"/>
  <c r="G286" i="2"/>
  <c r="M286" i="2" s="1"/>
  <c r="G287" i="2"/>
  <c r="M287" i="2" s="1"/>
  <c r="G288" i="2"/>
  <c r="M288" i="2" s="1"/>
  <c r="G289" i="2"/>
  <c r="M289" i="2" s="1"/>
  <c r="G290" i="2"/>
  <c r="M290" i="2" s="1"/>
  <c r="G291" i="2"/>
  <c r="M291" i="2" s="1"/>
  <c r="G292" i="2"/>
  <c r="M292" i="2" s="1"/>
  <c r="G293" i="2"/>
  <c r="M293" i="2" s="1"/>
  <c r="G294" i="2"/>
  <c r="M294" i="2" s="1"/>
  <c r="G295" i="2"/>
  <c r="M295" i="2" s="1"/>
  <c r="G296" i="2"/>
  <c r="M296" i="2" s="1"/>
  <c r="G297" i="2"/>
  <c r="M297" i="2" s="1"/>
  <c r="G298" i="2"/>
  <c r="M298" i="2" s="1"/>
  <c r="G299" i="2"/>
  <c r="M299" i="2" s="1"/>
  <c r="G300" i="2"/>
  <c r="M300" i="2" s="1"/>
  <c r="G301" i="2"/>
  <c r="M301" i="2" s="1"/>
  <c r="G302" i="2"/>
  <c r="M302" i="2" s="1"/>
  <c r="G303" i="2"/>
  <c r="M303" i="2" s="1"/>
  <c r="G304" i="2"/>
  <c r="M304" i="2" s="1"/>
  <c r="G305" i="2"/>
  <c r="M305" i="2" s="1"/>
  <c r="G306" i="2"/>
  <c r="M306" i="2" s="1"/>
  <c r="G307" i="2"/>
  <c r="M307" i="2" s="1"/>
  <c r="G308" i="2"/>
  <c r="M308" i="2" s="1"/>
  <c r="G309" i="2"/>
  <c r="M309" i="2" s="1"/>
  <c r="G310" i="2"/>
  <c r="M310" i="2" s="1"/>
  <c r="G311" i="2"/>
  <c r="M311" i="2" s="1"/>
  <c r="G312" i="2"/>
  <c r="M312" i="2" s="1"/>
  <c r="G313" i="2"/>
  <c r="M313" i="2" s="1"/>
  <c r="G314" i="2"/>
  <c r="M314" i="2" s="1"/>
  <c r="G315" i="2"/>
  <c r="M315" i="2" s="1"/>
  <c r="G316" i="2"/>
  <c r="M316" i="2" s="1"/>
  <c r="G317" i="2"/>
  <c r="M317" i="2" s="1"/>
  <c r="G318" i="2"/>
  <c r="M318" i="2" s="1"/>
  <c r="G319" i="2"/>
  <c r="M319" i="2" s="1"/>
  <c r="G320" i="2"/>
  <c r="M320" i="2" s="1"/>
  <c r="G321" i="2"/>
  <c r="M321" i="2" s="1"/>
  <c r="G322" i="2"/>
  <c r="M322" i="2" s="1"/>
  <c r="G323" i="2"/>
  <c r="M323" i="2" s="1"/>
  <c r="G324" i="2"/>
  <c r="M324" i="2" s="1"/>
  <c r="G325" i="2"/>
  <c r="M325" i="2" s="1"/>
  <c r="G326" i="2"/>
  <c r="M326" i="2" s="1"/>
  <c r="G327" i="2"/>
  <c r="M327" i="2" s="1"/>
  <c r="G328" i="2"/>
  <c r="M328" i="2" s="1"/>
  <c r="G329" i="2"/>
  <c r="M329" i="2" s="1"/>
  <c r="G330" i="2"/>
  <c r="M330" i="2" s="1"/>
  <c r="G331" i="2"/>
  <c r="M331" i="2" s="1"/>
  <c r="G332" i="2"/>
  <c r="M332" i="2" s="1"/>
  <c r="G333" i="2"/>
  <c r="M333" i="2" s="1"/>
  <c r="G334" i="2"/>
  <c r="M334" i="2" s="1"/>
  <c r="G335" i="2"/>
  <c r="M335" i="2" s="1"/>
  <c r="G336" i="2"/>
  <c r="M336" i="2" s="1"/>
  <c r="G337" i="2"/>
  <c r="M337" i="2" s="1"/>
  <c r="G338" i="2"/>
  <c r="M338" i="2" s="1"/>
  <c r="G339" i="2"/>
  <c r="M339" i="2" s="1"/>
  <c r="G340" i="2"/>
  <c r="M340" i="2" s="1"/>
  <c r="G341" i="2"/>
  <c r="M341" i="2" s="1"/>
  <c r="G342" i="2"/>
  <c r="M342" i="2" s="1"/>
  <c r="G343" i="2"/>
  <c r="M343" i="2" s="1"/>
  <c r="G344" i="2"/>
  <c r="M344" i="2" s="1"/>
  <c r="G345" i="2"/>
  <c r="M345" i="2" s="1"/>
  <c r="G346" i="2"/>
  <c r="M346" i="2" s="1"/>
  <c r="G347" i="2"/>
  <c r="M347" i="2" s="1"/>
  <c r="G348" i="2"/>
  <c r="M348" i="2" s="1"/>
  <c r="G349" i="2"/>
  <c r="M349" i="2" s="1"/>
  <c r="G350" i="2"/>
  <c r="M350" i="2" s="1"/>
  <c r="G351" i="2"/>
  <c r="M351" i="2" s="1"/>
  <c r="G352" i="2"/>
  <c r="M352" i="2" s="1"/>
  <c r="G353" i="2"/>
  <c r="M353" i="2" s="1"/>
  <c r="G354" i="2"/>
  <c r="M354" i="2" s="1"/>
  <c r="G355" i="2"/>
  <c r="M355" i="2" s="1"/>
  <c r="G356" i="2"/>
  <c r="M356" i="2" s="1"/>
  <c r="G357" i="2"/>
  <c r="M357" i="2" s="1"/>
  <c r="G358" i="2"/>
  <c r="M358" i="2" s="1"/>
  <c r="G359" i="2"/>
  <c r="M359" i="2" s="1"/>
  <c r="G360" i="2"/>
  <c r="M360" i="2" s="1"/>
  <c r="G361" i="2"/>
  <c r="M361" i="2" s="1"/>
  <c r="G362" i="2"/>
  <c r="M362" i="2" s="1"/>
  <c r="G363" i="2"/>
  <c r="M363" i="2" s="1"/>
  <c r="G364" i="2"/>
  <c r="M364" i="2" s="1"/>
  <c r="G365" i="2"/>
  <c r="M365" i="2" s="1"/>
  <c r="G366" i="2"/>
  <c r="M366" i="2" s="1"/>
  <c r="G367" i="2"/>
  <c r="M367" i="2" s="1"/>
  <c r="G368" i="2"/>
  <c r="M368" i="2" s="1"/>
  <c r="G369" i="2"/>
  <c r="M369" i="2" s="1"/>
  <c r="G370" i="2"/>
  <c r="M370" i="2" s="1"/>
  <c r="G371" i="2"/>
  <c r="M371" i="2" s="1"/>
  <c r="G372" i="2"/>
  <c r="M372" i="2" s="1"/>
  <c r="G373" i="2"/>
  <c r="M373" i="2" s="1"/>
  <c r="G374" i="2"/>
  <c r="M374" i="2" s="1"/>
  <c r="G375" i="2"/>
  <c r="M375" i="2" s="1"/>
  <c r="G376" i="2"/>
  <c r="M376" i="2" s="1"/>
  <c r="G377" i="2"/>
  <c r="M377" i="2" s="1"/>
  <c r="G378" i="2"/>
  <c r="M378" i="2" s="1"/>
  <c r="G379" i="2"/>
  <c r="M379" i="2" s="1"/>
  <c r="G380" i="2"/>
  <c r="M380" i="2" s="1"/>
  <c r="G381" i="2"/>
  <c r="M381" i="2" s="1"/>
  <c r="G382" i="2"/>
  <c r="M382" i="2" s="1"/>
  <c r="G383" i="2"/>
  <c r="M383" i="2" s="1"/>
  <c r="G384" i="2"/>
  <c r="M384" i="2" s="1"/>
  <c r="G385" i="2"/>
  <c r="M385" i="2" s="1"/>
  <c r="G386" i="2"/>
  <c r="M386" i="2" s="1"/>
  <c r="G387" i="2"/>
  <c r="M387" i="2" s="1"/>
  <c r="G388" i="2"/>
  <c r="M388" i="2" s="1"/>
  <c r="G389" i="2"/>
  <c r="M389" i="2" s="1"/>
  <c r="G390" i="2"/>
  <c r="M390" i="2" s="1"/>
  <c r="G391" i="2"/>
  <c r="M391" i="2" s="1"/>
  <c r="G392" i="2"/>
  <c r="M392" i="2" s="1"/>
  <c r="G393" i="2"/>
  <c r="M393" i="2" s="1"/>
  <c r="G394" i="2"/>
  <c r="M394" i="2" s="1"/>
  <c r="G395" i="2"/>
  <c r="M395" i="2" s="1"/>
  <c r="G396" i="2"/>
  <c r="M396" i="2" s="1"/>
  <c r="G397" i="2"/>
  <c r="M397" i="2" s="1"/>
  <c r="G398" i="2"/>
  <c r="M398" i="2" s="1"/>
  <c r="G399" i="2"/>
  <c r="M399" i="2" s="1"/>
  <c r="G400" i="2"/>
  <c r="M400" i="2" s="1"/>
  <c r="G401" i="2"/>
  <c r="M401" i="2" s="1"/>
  <c r="G402" i="2"/>
  <c r="M402" i="2" s="1"/>
  <c r="G403" i="2"/>
  <c r="M403" i="2" s="1"/>
  <c r="G404" i="2"/>
  <c r="M404" i="2" s="1"/>
  <c r="G405" i="2"/>
  <c r="M405" i="2" s="1"/>
  <c r="G406" i="2"/>
  <c r="M406" i="2" s="1"/>
  <c r="G407" i="2"/>
  <c r="M407" i="2" s="1"/>
  <c r="G408" i="2"/>
  <c r="M408" i="2" s="1"/>
  <c r="G409" i="2"/>
  <c r="M409" i="2" s="1"/>
  <c r="G410" i="2"/>
  <c r="M410" i="2" s="1"/>
  <c r="G411" i="2"/>
  <c r="M411" i="2" s="1"/>
  <c r="G412" i="2"/>
  <c r="M412" i="2" s="1"/>
  <c r="G413" i="2"/>
  <c r="M413" i="2" s="1"/>
  <c r="G414" i="2"/>
  <c r="M414" i="2" s="1"/>
  <c r="G415" i="2"/>
  <c r="M415" i="2" s="1"/>
  <c r="G416" i="2"/>
  <c r="M416" i="2" s="1"/>
  <c r="G417" i="2"/>
  <c r="M417" i="2" s="1"/>
  <c r="G418" i="2"/>
  <c r="M418" i="2" s="1"/>
  <c r="G419" i="2"/>
  <c r="M419" i="2" s="1"/>
  <c r="G420" i="2"/>
  <c r="M420" i="2" s="1"/>
  <c r="G421" i="2"/>
  <c r="M421" i="2" s="1"/>
  <c r="G422" i="2"/>
  <c r="M422" i="2" s="1"/>
  <c r="G423" i="2"/>
  <c r="M423" i="2" s="1"/>
  <c r="G424" i="2"/>
  <c r="M424" i="2" s="1"/>
  <c r="G425" i="2"/>
  <c r="M425" i="2" s="1"/>
  <c r="G426" i="2"/>
  <c r="M426" i="2" s="1"/>
  <c r="G427" i="2"/>
  <c r="M427" i="2" s="1"/>
  <c r="G428" i="2"/>
  <c r="M428" i="2" s="1"/>
  <c r="G429" i="2"/>
  <c r="M429" i="2" s="1"/>
  <c r="G430" i="2"/>
  <c r="M430" i="2" s="1"/>
  <c r="G431" i="2"/>
  <c r="M431" i="2" s="1"/>
  <c r="G432" i="2"/>
  <c r="M432" i="2" s="1"/>
  <c r="G433" i="2"/>
  <c r="M433" i="2" s="1"/>
  <c r="G434" i="2"/>
  <c r="M434" i="2" s="1"/>
  <c r="G435" i="2"/>
  <c r="M435" i="2" s="1"/>
  <c r="G436" i="2"/>
  <c r="M436" i="2" s="1"/>
  <c r="G437" i="2"/>
  <c r="M437" i="2" s="1"/>
  <c r="G438" i="2"/>
  <c r="M438" i="2" s="1"/>
  <c r="G439" i="2"/>
  <c r="M439" i="2" s="1"/>
  <c r="G440" i="2"/>
  <c r="M440" i="2" s="1"/>
  <c r="G441" i="2"/>
  <c r="M441" i="2" s="1"/>
  <c r="G442" i="2"/>
  <c r="M442" i="2" s="1"/>
  <c r="G443" i="2"/>
  <c r="M443" i="2" s="1"/>
  <c r="G444" i="2"/>
  <c r="M444" i="2" s="1"/>
  <c r="G445" i="2"/>
  <c r="M445" i="2" s="1"/>
  <c r="G446" i="2"/>
  <c r="M446" i="2" s="1"/>
  <c r="G447" i="2"/>
  <c r="M447" i="2" s="1"/>
  <c r="G448" i="2"/>
  <c r="M448" i="2" s="1"/>
  <c r="G449" i="2"/>
  <c r="M449" i="2" s="1"/>
  <c r="G450" i="2"/>
  <c r="M450" i="2" s="1"/>
  <c r="G451" i="2"/>
  <c r="M451" i="2" s="1"/>
  <c r="G452" i="2"/>
  <c r="M452" i="2" s="1"/>
  <c r="G453" i="2"/>
  <c r="M453" i="2" s="1"/>
  <c r="G454" i="2"/>
  <c r="M454" i="2" s="1"/>
  <c r="G455" i="2"/>
  <c r="M455" i="2" s="1"/>
  <c r="G456" i="2"/>
  <c r="M456" i="2" s="1"/>
  <c r="G457" i="2"/>
  <c r="M457" i="2" s="1"/>
  <c r="G458" i="2"/>
  <c r="M458" i="2" s="1"/>
  <c r="G459" i="2"/>
  <c r="M459" i="2" s="1"/>
  <c r="G460" i="2"/>
  <c r="M460" i="2" s="1"/>
  <c r="G461" i="2"/>
  <c r="M461" i="2" s="1"/>
  <c r="G462" i="2"/>
  <c r="M462" i="2" s="1"/>
  <c r="G463" i="2"/>
  <c r="M463" i="2" s="1"/>
  <c r="G464" i="2"/>
  <c r="M464" i="2" s="1"/>
  <c r="G465" i="2"/>
  <c r="M465" i="2" s="1"/>
  <c r="G466" i="2"/>
  <c r="M466" i="2" s="1"/>
  <c r="G467" i="2"/>
  <c r="M467" i="2" s="1"/>
  <c r="G468" i="2"/>
  <c r="M468" i="2" s="1"/>
  <c r="G469" i="2"/>
  <c r="M469" i="2" s="1"/>
  <c r="G470" i="2"/>
  <c r="M470" i="2" s="1"/>
  <c r="G471" i="2"/>
  <c r="M471" i="2" s="1"/>
  <c r="G472" i="2"/>
  <c r="M472" i="2" s="1"/>
  <c r="G473" i="2"/>
  <c r="M473" i="2" s="1"/>
  <c r="G474" i="2"/>
  <c r="M474" i="2" s="1"/>
  <c r="G475" i="2"/>
  <c r="M475" i="2" s="1"/>
  <c r="G476" i="2"/>
  <c r="M476" i="2" s="1"/>
  <c r="G477" i="2"/>
  <c r="M477" i="2" s="1"/>
  <c r="G478" i="2"/>
  <c r="M478" i="2" s="1"/>
  <c r="G479" i="2"/>
  <c r="M479" i="2" s="1"/>
  <c r="G480" i="2"/>
  <c r="M480" i="2" s="1"/>
  <c r="G481" i="2"/>
  <c r="M481" i="2" s="1"/>
  <c r="G482" i="2"/>
  <c r="M482" i="2" s="1"/>
  <c r="G483" i="2"/>
  <c r="M483" i="2" s="1"/>
  <c r="G484" i="2"/>
  <c r="M484" i="2" s="1"/>
  <c r="G485" i="2"/>
  <c r="M485" i="2" s="1"/>
  <c r="G486" i="2"/>
  <c r="M486" i="2" s="1"/>
  <c r="G487" i="2"/>
  <c r="M487" i="2" s="1"/>
  <c r="G488" i="2"/>
  <c r="M488" i="2" s="1"/>
  <c r="G489" i="2"/>
  <c r="M489" i="2" s="1"/>
  <c r="G490" i="2"/>
  <c r="M490" i="2" s="1"/>
  <c r="G491" i="2"/>
  <c r="M491" i="2" s="1"/>
  <c r="G492" i="2"/>
  <c r="M492" i="2" s="1"/>
  <c r="G493" i="2"/>
  <c r="M493" i="2" s="1"/>
  <c r="G494" i="2"/>
  <c r="M494" i="2" s="1"/>
  <c r="G495" i="2"/>
  <c r="M495" i="2" s="1"/>
  <c r="G496" i="2"/>
  <c r="M496" i="2" s="1"/>
  <c r="G497" i="2"/>
  <c r="M497" i="2" s="1"/>
  <c r="G498" i="2"/>
  <c r="M498" i="2" s="1"/>
  <c r="G499" i="2"/>
  <c r="M499" i="2" s="1"/>
  <c r="G500" i="2"/>
  <c r="M500" i="2" s="1"/>
  <c r="G501" i="2"/>
  <c r="M501" i="2" s="1"/>
  <c r="G2" i="2"/>
  <c r="I3" i="2"/>
  <c r="I4" i="2"/>
  <c r="I5" i="2"/>
  <c r="I6" i="2"/>
  <c r="I7" i="2"/>
  <c r="I8" i="2"/>
  <c r="I9" i="2"/>
  <c r="I10" i="2"/>
  <c r="I11" i="2"/>
  <c r="I12" i="2"/>
  <c r="I13" i="2"/>
  <c r="I14" i="2"/>
  <c r="I15" i="2"/>
  <c r="I16" i="2"/>
  <c r="I17" i="2"/>
  <c r="I18" i="2"/>
  <c r="I19" i="2"/>
  <c r="I20" i="2"/>
  <c r="I21" i="2"/>
  <c r="I22" i="2"/>
  <c r="I23" i="2"/>
  <c r="I24" i="2"/>
  <c r="I25" i="2"/>
  <c r="I26" i="2"/>
  <c r="I27" i="2"/>
  <c r="I28" i="2"/>
  <c r="I29" i="2"/>
  <c r="I30" i="2"/>
  <c r="I31" i="2"/>
  <c r="I32" i="2"/>
  <c r="I33" i="2"/>
  <c r="I34" i="2"/>
  <c r="I35" i="2"/>
  <c r="I36" i="2"/>
  <c r="I37" i="2"/>
  <c r="I38" i="2"/>
  <c r="I39" i="2"/>
  <c r="I40" i="2"/>
  <c r="I41" i="2"/>
  <c r="I42" i="2"/>
  <c r="I43" i="2"/>
  <c r="I44" i="2"/>
  <c r="I45" i="2"/>
  <c r="I46" i="2"/>
  <c r="I47" i="2"/>
  <c r="I48" i="2"/>
  <c r="I49" i="2"/>
  <c r="I50" i="2"/>
  <c r="I51" i="2"/>
  <c r="I52" i="2"/>
  <c r="I53" i="2"/>
  <c r="I54" i="2"/>
  <c r="I55" i="2"/>
  <c r="I56" i="2"/>
  <c r="I57" i="2"/>
  <c r="I58" i="2"/>
  <c r="I59" i="2"/>
  <c r="I60" i="2"/>
  <c r="I61" i="2"/>
  <c r="I62" i="2"/>
  <c r="I63" i="2"/>
  <c r="I64" i="2"/>
  <c r="I65" i="2"/>
  <c r="I66" i="2"/>
  <c r="I67" i="2"/>
  <c r="I68" i="2"/>
  <c r="I69" i="2"/>
  <c r="I70" i="2"/>
  <c r="I71" i="2"/>
  <c r="I72" i="2"/>
  <c r="I73" i="2"/>
  <c r="I74" i="2"/>
  <c r="I75" i="2"/>
  <c r="I76" i="2"/>
  <c r="I77" i="2"/>
  <c r="I78" i="2"/>
  <c r="I79" i="2"/>
  <c r="I80" i="2"/>
  <c r="I81" i="2"/>
  <c r="I82" i="2"/>
  <c r="I83" i="2"/>
  <c r="I84" i="2"/>
  <c r="I85" i="2"/>
  <c r="I86" i="2"/>
  <c r="I87" i="2"/>
  <c r="I88" i="2"/>
  <c r="I89" i="2"/>
  <c r="I90" i="2"/>
  <c r="I91" i="2"/>
  <c r="I92" i="2"/>
  <c r="I93" i="2"/>
  <c r="I94" i="2"/>
  <c r="I95" i="2"/>
  <c r="I96" i="2"/>
  <c r="I97" i="2"/>
  <c r="I98" i="2"/>
  <c r="I99" i="2"/>
  <c r="I100" i="2"/>
  <c r="I101" i="2"/>
  <c r="I102" i="2"/>
  <c r="I103" i="2"/>
  <c r="I104" i="2"/>
  <c r="I105" i="2"/>
  <c r="I106" i="2"/>
  <c r="I107" i="2"/>
  <c r="I108" i="2"/>
  <c r="I109" i="2"/>
  <c r="I110" i="2"/>
  <c r="I111" i="2"/>
  <c r="I112" i="2"/>
  <c r="I113" i="2"/>
  <c r="I114" i="2"/>
  <c r="I115" i="2"/>
  <c r="I116" i="2"/>
  <c r="I117" i="2"/>
  <c r="I118" i="2"/>
  <c r="I119" i="2"/>
  <c r="I120" i="2"/>
  <c r="I121" i="2"/>
  <c r="I122" i="2"/>
  <c r="I123" i="2"/>
  <c r="I124" i="2"/>
  <c r="I125" i="2"/>
  <c r="I126" i="2"/>
  <c r="I127" i="2"/>
  <c r="I128" i="2"/>
  <c r="I129" i="2"/>
  <c r="I130" i="2"/>
  <c r="I131" i="2"/>
  <c r="I132" i="2"/>
  <c r="I133" i="2"/>
  <c r="I134" i="2"/>
  <c r="I135" i="2"/>
  <c r="I136" i="2"/>
  <c r="I137" i="2"/>
  <c r="I138" i="2"/>
  <c r="I139" i="2"/>
  <c r="I140" i="2"/>
  <c r="I141" i="2"/>
  <c r="I142" i="2"/>
  <c r="I143" i="2"/>
  <c r="I144" i="2"/>
  <c r="I145" i="2"/>
  <c r="I146" i="2"/>
  <c r="I147" i="2"/>
  <c r="I148" i="2"/>
  <c r="I149" i="2"/>
  <c r="I150" i="2"/>
  <c r="I151" i="2"/>
  <c r="I152" i="2"/>
  <c r="I153" i="2"/>
  <c r="I154" i="2"/>
  <c r="I155" i="2"/>
  <c r="I156" i="2"/>
  <c r="I157" i="2"/>
  <c r="I158" i="2"/>
  <c r="I159" i="2"/>
  <c r="I160" i="2"/>
  <c r="I161" i="2"/>
  <c r="I162" i="2"/>
  <c r="I163" i="2"/>
  <c r="I164" i="2"/>
  <c r="I165" i="2"/>
  <c r="I166" i="2"/>
  <c r="I167" i="2"/>
  <c r="I168" i="2"/>
  <c r="I169" i="2"/>
  <c r="I170" i="2"/>
  <c r="I171" i="2"/>
  <c r="I172" i="2"/>
  <c r="I173" i="2"/>
  <c r="I174" i="2"/>
  <c r="I175" i="2"/>
  <c r="I176" i="2"/>
  <c r="I177" i="2"/>
  <c r="I178" i="2"/>
  <c r="I179" i="2"/>
  <c r="I180" i="2"/>
  <c r="I181" i="2"/>
  <c r="I182" i="2"/>
  <c r="I183" i="2"/>
  <c r="I184" i="2"/>
  <c r="I185" i="2"/>
  <c r="I186" i="2"/>
  <c r="I187" i="2"/>
  <c r="I188" i="2"/>
  <c r="I189" i="2"/>
  <c r="I190" i="2"/>
  <c r="I191" i="2"/>
  <c r="I192" i="2"/>
  <c r="I193" i="2"/>
  <c r="I194" i="2"/>
  <c r="I195" i="2"/>
  <c r="I196" i="2"/>
  <c r="I197" i="2"/>
  <c r="I198" i="2"/>
  <c r="I199" i="2"/>
  <c r="I200" i="2"/>
  <c r="I201" i="2"/>
  <c r="I202" i="2"/>
  <c r="I203" i="2"/>
  <c r="I204" i="2"/>
  <c r="I205" i="2"/>
  <c r="I206" i="2"/>
  <c r="I207" i="2"/>
  <c r="I208" i="2"/>
  <c r="I209" i="2"/>
  <c r="I210" i="2"/>
  <c r="I211" i="2"/>
  <c r="I212" i="2"/>
  <c r="I213" i="2"/>
  <c r="I214" i="2"/>
  <c r="I215" i="2"/>
  <c r="I216" i="2"/>
  <c r="I217" i="2"/>
  <c r="I218" i="2"/>
  <c r="I219" i="2"/>
  <c r="I220" i="2"/>
  <c r="I221" i="2"/>
  <c r="I222" i="2"/>
  <c r="I223" i="2"/>
  <c r="I224" i="2"/>
  <c r="I225" i="2"/>
  <c r="I226" i="2"/>
  <c r="I227" i="2"/>
  <c r="I228" i="2"/>
  <c r="I229" i="2"/>
  <c r="I230" i="2"/>
  <c r="I231" i="2"/>
  <c r="I232" i="2"/>
  <c r="I233" i="2"/>
  <c r="I234" i="2"/>
  <c r="I235" i="2"/>
  <c r="I236" i="2"/>
  <c r="I237" i="2"/>
  <c r="I238" i="2"/>
  <c r="I239" i="2"/>
  <c r="I240" i="2"/>
  <c r="I241" i="2"/>
  <c r="I242" i="2"/>
  <c r="I243" i="2"/>
  <c r="I244" i="2"/>
  <c r="I245" i="2"/>
  <c r="I246" i="2"/>
  <c r="I247" i="2"/>
  <c r="I248" i="2"/>
  <c r="I249" i="2"/>
  <c r="I250" i="2"/>
  <c r="I251" i="2"/>
  <c r="I252" i="2"/>
  <c r="I253" i="2"/>
  <c r="I254" i="2"/>
  <c r="I255" i="2"/>
  <c r="I256" i="2"/>
  <c r="I257" i="2"/>
  <c r="I258" i="2"/>
  <c r="I259" i="2"/>
  <c r="I260" i="2"/>
  <c r="I261" i="2"/>
  <c r="I262" i="2"/>
  <c r="I263" i="2"/>
  <c r="I264" i="2"/>
  <c r="I265" i="2"/>
  <c r="I266" i="2"/>
  <c r="I267" i="2"/>
  <c r="I268" i="2"/>
  <c r="I269" i="2"/>
  <c r="I270" i="2"/>
  <c r="I271" i="2"/>
  <c r="I272" i="2"/>
  <c r="I273" i="2"/>
  <c r="I274" i="2"/>
  <c r="I275" i="2"/>
  <c r="I276" i="2"/>
  <c r="I277" i="2"/>
  <c r="I278" i="2"/>
  <c r="I279" i="2"/>
  <c r="I280" i="2"/>
  <c r="I281" i="2"/>
  <c r="I282" i="2"/>
  <c r="I283" i="2"/>
  <c r="I284" i="2"/>
  <c r="I285" i="2"/>
  <c r="I286" i="2"/>
  <c r="I287" i="2"/>
  <c r="I288" i="2"/>
  <c r="I289" i="2"/>
  <c r="I290" i="2"/>
  <c r="I291" i="2"/>
  <c r="I292" i="2"/>
  <c r="I293" i="2"/>
  <c r="I294" i="2"/>
  <c r="I295" i="2"/>
  <c r="I296" i="2"/>
  <c r="I297" i="2"/>
  <c r="I298" i="2"/>
  <c r="I299" i="2"/>
  <c r="I300" i="2"/>
  <c r="I301" i="2"/>
  <c r="I302" i="2"/>
  <c r="I303" i="2"/>
  <c r="I304" i="2"/>
  <c r="I305" i="2"/>
  <c r="I306" i="2"/>
  <c r="I307" i="2"/>
  <c r="I308" i="2"/>
  <c r="I309" i="2"/>
  <c r="I310" i="2"/>
  <c r="I311" i="2"/>
  <c r="I312" i="2"/>
  <c r="I313" i="2"/>
  <c r="I314" i="2"/>
  <c r="I315" i="2"/>
  <c r="I316" i="2"/>
  <c r="I317" i="2"/>
  <c r="I318" i="2"/>
  <c r="I319" i="2"/>
  <c r="I320" i="2"/>
  <c r="I321" i="2"/>
  <c r="I322" i="2"/>
  <c r="I323" i="2"/>
  <c r="I324" i="2"/>
  <c r="I325" i="2"/>
  <c r="I326" i="2"/>
  <c r="I327" i="2"/>
  <c r="I328" i="2"/>
  <c r="I329" i="2"/>
  <c r="I330" i="2"/>
  <c r="I331" i="2"/>
  <c r="I332" i="2"/>
  <c r="I333" i="2"/>
  <c r="I334" i="2"/>
  <c r="I335" i="2"/>
  <c r="I336" i="2"/>
  <c r="I337" i="2"/>
  <c r="I338" i="2"/>
  <c r="I339" i="2"/>
  <c r="I340" i="2"/>
  <c r="I341" i="2"/>
  <c r="I342" i="2"/>
  <c r="I343" i="2"/>
  <c r="I344" i="2"/>
  <c r="I345" i="2"/>
  <c r="I346" i="2"/>
  <c r="I347" i="2"/>
  <c r="I348" i="2"/>
  <c r="I349" i="2"/>
  <c r="I350" i="2"/>
  <c r="I351" i="2"/>
  <c r="I352" i="2"/>
  <c r="I353" i="2"/>
  <c r="I354" i="2"/>
  <c r="I355" i="2"/>
  <c r="I356" i="2"/>
  <c r="I357" i="2"/>
  <c r="I358" i="2"/>
  <c r="I359" i="2"/>
  <c r="I360" i="2"/>
  <c r="I361" i="2"/>
  <c r="I362" i="2"/>
  <c r="I363" i="2"/>
  <c r="I364" i="2"/>
  <c r="I365" i="2"/>
  <c r="I366" i="2"/>
  <c r="I367" i="2"/>
  <c r="I368" i="2"/>
  <c r="I369" i="2"/>
  <c r="I370" i="2"/>
  <c r="I371" i="2"/>
  <c r="I372" i="2"/>
  <c r="I373" i="2"/>
  <c r="I374" i="2"/>
  <c r="I375" i="2"/>
  <c r="I376" i="2"/>
  <c r="I377" i="2"/>
  <c r="I378" i="2"/>
  <c r="I379" i="2"/>
  <c r="I380" i="2"/>
  <c r="I381" i="2"/>
  <c r="I382" i="2"/>
  <c r="I383" i="2"/>
  <c r="I384" i="2"/>
  <c r="I385" i="2"/>
  <c r="I386" i="2"/>
  <c r="I387" i="2"/>
  <c r="I388" i="2"/>
  <c r="I389" i="2"/>
  <c r="I390" i="2"/>
  <c r="I391" i="2"/>
  <c r="I392" i="2"/>
  <c r="I393" i="2"/>
  <c r="I394" i="2"/>
  <c r="I395" i="2"/>
  <c r="I396" i="2"/>
  <c r="I397" i="2"/>
  <c r="I398" i="2"/>
  <c r="I399" i="2"/>
  <c r="I400" i="2"/>
  <c r="I401" i="2"/>
  <c r="I402" i="2"/>
  <c r="I403" i="2"/>
  <c r="I404" i="2"/>
  <c r="I405" i="2"/>
  <c r="I406" i="2"/>
  <c r="I407" i="2"/>
  <c r="I408" i="2"/>
  <c r="I409" i="2"/>
  <c r="I410" i="2"/>
  <c r="I411" i="2"/>
  <c r="I412" i="2"/>
  <c r="I413" i="2"/>
  <c r="I414" i="2"/>
  <c r="I415" i="2"/>
  <c r="I416" i="2"/>
  <c r="I417" i="2"/>
  <c r="I418" i="2"/>
  <c r="I419" i="2"/>
  <c r="I420" i="2"/>
  <c r="I421" i="2"/>
  <c r="I422" i="2"/>
  <c r="I423" i="2"/>
  <c r="I424" i="2"/>
  <c r="I425" i="2"/>
  <c r="I426" i="2"/>
  <c r="I427" i="2"/>
  <c r="I428" i="2"/>
  <c r="I429" i="2"/>
  <c r="I430" i="2"/>
  <c r="I431" i="2"/>
  <c r="I432" i="2"/>
  <c r="I433" i="2"/>
  <c r="I434" i="2"/>
  <c r="I435" i="2"/>
  <c r="I436" i="2"/>
  <c r="I437" i="2"/>
  <c r="I438" i="2"/>
  <c r="I439" i="2"/>
  <c r="I440" i="2"/>
  <c r="I441" i="2"/>
  <c r="I442" i="2"/>
  <c r="I443" i="2"/>
  <c r="I444" i="2"/>
  <c r="I445" i="2"/>
  <c r="I446" i="2"/>
  <c r="I447" i="2"/>
  <c r="I448" i="2"/>
  <c r="I449" i="2"/>
  <c r="I450" i="2"/>
  <c r="I451" i="2"/>
  <c r="I452" i="2"/>
  <c r="I453" i="2"/>
  <c r="I454" i="2"/>
  <c r="I455" i="2"/>
  <c r="I456" i="2"/>
  <c r="I457" i="2"/>
  <c r="I458" i="2"/>
  <c r="I459" i="2"/>
  <c r="I460" i="2"/>
  <c r="I461" i="2"/>
  <c r="I462" i="2"/>
  <c r="I463" i="2"/>
  <c r="I464" i="2"/>
  <c r="I465" i="2"/>
  <c r="I466" i="2"/>
  <c r="I467" i="2"/>
  <c r="I468" i="2"/>
  <c r="I469" i="2"/>
  <c r="I470" i="2"/>
  <c r="I471" i="2"/>
  <c r="I472" i="2"/>
  <c r="I473" i="2"/>
  <c r="I474" i="2"/>
  <c r="I475" i="2"/>
  <c r="I476" i="2"/>
  <c r="I477" i="2"/>
  <c r="I478" i="2"/>
  <c r="I479" i="2"/>
  <c r="I480" i="2"/>
  <c r="I481" i="2"/>
  <c r="I482" i="2"/>
  <c r="I483" i="2"/>
  <c r="I484" i="2"/>
  <c r="I485" i="2"/>
  <c r="I486" i="2"/>
  <c r="I487" i="2"/>
  <c r="I488" i="2"/>
  <c r="I489" i="2"/>
  <c r="I490" i="2"/>
  <c r="I491" i="2"/>
  <c r="I492" i="2"/>
  <c r="I493" i="2"/>
  <c r="I494" i="2"/>
  <c r="I495" i="2"/>
  <c r="I496" i="2"/>
  <c r="I497" i="2"/>
  <c r="I498" i="2"/>
  <c r="I499" i="2"/>
  <c r="I500" i="2"/>
  <c r="I501" i="2"/>
  <c r="I2" i="2"/>
  <c r="S3" i="2" l="1"/>
  <c r="S5" i="2"/>
  <c r="S4" i="2"/>
  <c r="S2" i="2"/>
  <c r="T4" i="2"/>
  <c r="M8" i="2"/>
  <c r="T2" i="2"/>
  <c r="M6" i="2"/>
  <c r="T5" i="2"/>
  <c r="M9" i="2"/>
  <c r="T3" i="2"/>
  <c r="M7" i="2"/>
  <c r="P3" i="2"/>
  <c r="M2" i="2"/>
  <c r="P4" i="2"/>
  <c r="P2" i="2"/>
</calcChain>
</file>

<file path=xl/sharedStrings.xml><?xml version="1.0" encoding="utf-8"?>
<sst xmlns="http://schemas.openxmlformats.org/spreadsheetml/2006/main" count="3093" uniqueCount="1068">
  <si>
    <t>OrderID</t>
  </si>
  <si>
    <t>Product</t>
  </si>
  <si>
    <t>Category</t>
  </si>
  <si>
    <t>Quantity</t>
  </si>
  <si>
    <t>UnitPrice</t>
  </si>
  <si>
    <t>TotalAmount</t>
  </si>
  <si>
    <t>OrderDate</t>
  </si>
  <si>
    <t>CustomerRegion</t>
  </si>
  <si>
    <t>PaymentMethod</t>
  </si>
  <si>
    <t>CustomerID</t>
  </si>
  <si>
    <t>ORD0001</t>
  </si>
  <si>
    <t>Biography</t>
  </si>
  <si>
    <t>Books</t>
  </si>
  <si>
    <t>East</t>
  </si>
  <si>
    <t>UPI</t>
  </si>
  <si>
    <t>CUST6191</t>
  </si>
  <si>
    <t>ORD0002</t>
  </si>
  <si>
    <t>Comics</t>
  </si>
  <si>
    <t>South</t>
  </si>
  <si>
    <t>Credit Card</t>
  </si>
  <si>
    <t>CUST5426</t>
  </si>
  <si>
    <t>ORD0003</t>
  </si>
  <si>
    <t>Jacket</t>
  </si>
  <si>
    <t>Clothing</t>
  </si>
  <si>
    <t>CUST9322</t>
  </si>
  <si>
    <t>ORD0004</t>
  </si>
  <si>
    <t>Dress</t>
  </si>
  <si>
    <t>Cash on Delivery</t>
  </si>
  <si>
    <t>CUST7949</t>
  </si>
  <si>
    <t>ORD0005</t>
  </si>
  <si>
    <t>Fiction</t>
  </si>
  <si>
    <t>North</t>
  </si>
  <si>
    <t>CUST2184</t>
  </si>
  <si>
    <t>ORD0006</t>
  </si>
  <si>
    <t>Jeans</t>
  </si>
  <si>
    <t>CUST9666</t>
  </si>
  <si>
    <t>ORD0007</t>
  </si>
  <si>
    <t>PayPal</t>
  </si>
  <si>
    <t>CUST2528</t>
  </si>
  <si>
    <t>ORD0008</t>
  </si>
  <si>
    <t>History</t>
  </si>
  <si>
    <t>CUST6393</t>
  </si>
  <si>
    <t>ORD0009</t>
  </si>
  <si>
    <t>Vase</t>
  </si>
  <si>
    <t>Home Decor</t>
  </si>
  <si>
    <t>CUST9433</t>
  </si>
  <si>
    <t>ORD0010</t>
  </si>
  <si>
    <t>Wall Art</t>
  </si>
  <si>
    <t>West</t>
  </si>
  <si>
    <t>CUST7235</t>
  </si>
  <si>
    <t>ORD0011</t>
  </si>
  <si>
    <t>Clock</t>
  </si>
  <si>
    <t>CUST9226</t>
  </si>
  <si>
    <t>ORD0012</t>
  </si>
  <si>
    <t>Smartphone</t>
  </si>
  <si>
    <t>Electronics</t>
  </si>
  <si>
    <t>CUST8555</t>
  </si>
  <si>
    <t>ORD0013</t>
  </si>
  <si>
    <t>Wallet</t>
  </si>
  <si>
    <t>Accessories</t>
  </si>
  <si>
    <t>CUST4843</t>
  </si>
  <si>
    <t>ORD0014</t>
  </si>
  <si>
    <t>Action Figure</t>
  </si>
  <si>
    <t>Toys</t>
  </si>
  <si>
    <t>CUST7873</t>
  </si>
  <si>
    <t>ORD0015</t>
  </si>
  <si>
    <t>CUST8629</t>
  </si>
  <si>
    <t>ORD0016</t>
  </si>
  <si>
    <t>Board Game</t>
  </si>
  <si>
    <t>CUST7439</t>
  </si>
  <si>
    <t>ORD0017</t>
  </si>
  <si>
    <t>CUST1878</t>
  </si>
  <si>
    <t>ORD0018</t>
  </si>
  <si>
    <t>Belt</t>
  </si>
  <si>
    <t>CUST5859</t>
  </si>
  <si>
    <t>ORD0019</t>
  </si>
  <si>
    <t>CUST1064</t>
  </si>
  <si>
    <t>ORD0020</t>
  </si>
  <si>
    <t>Lamp</t>
  </si>
  <si>
    <t>CUST3027</t>
  </si>
  <si>
    <t>ORD0021</t>
  </si>
  <si>
    <t>Smartwatch</t>
  </si>
  <si>
    <t>CUST6618</t>
  </si>
  <si>
    <t>ORD0022</t>
  </si>
  <si>
    <t>T-shirt</t>
  </si>
  <si>
    <t>CUST6892</t>
  </si>
  <si>
    <t>ORD0023</t>
  </si>
  <si>
    <t>Backpack</t>
  </si>
  <si>
    <t>CUST7278</t>
  </si>
  <si>
    <t>ORD0024</t>
  </si>
  <si>
    <t>CUST4104</t>
  </si>
  <si>
    <t>ORD0025</t>
  </si>
  <si>
    <t>CUST9996</t>
  </si>
  <si>
    <t>ORD0026</t>
  </si>
  <si>
    <t>CUST9154</t>
  </si>
  <si>
    <t>ORD0027</t>
  </si>
  <si>
    <t>Cushion</t>
  </si>
  <si>
    <t>CUST9110</t>
  </si>
  <si>
    <t>ORD0028</t>
  </si>
  <si>
    <t>Camera</t>
  </si>
  <si>
    <t>CUST1502</t>
  </si>
  <si>
    <t>ORD0029</t>
  </si>
  <si>
    <t>CUST6134</t>
  </si>
  <si>
    <t>ORD0030</t>
  </si>
  <si>
    <t>CUST8408</t>
  </si>
  <si>
    <t>ORD0031</t>
  </si>
  <si>
    <t>CUST2757</t>
  </si>
  <si>
    <t>ORD0032</t>
  </si>
  <si>
    <t>CUST2678</t>
  </si>
  <si>
    <t>ORD0033</t>
  </si>
  <si>
    <t>Lego Set</t>
  </si>
  <si>
    <t>CUST4157</t>
  </si>
  <si>
    <t>ORD0034</t>
  </si>
  <si>
    <t>CUST3693</t>
  </si>
  <si>
    <t>ORD0035</t>
  </si>
  <si>
    <t>Headphones</t>
  </si>
  <si>
    <t>CUST2663</t>
  </si>
  <si>
    <t>ORD0036</t>
  </si>
  <si>
    <t>CUST8392</t>
  </si>
  <si>
    <t>ORD0037</t>
  </si>
  <si>
    <t>CUST7776</t>
  </si>
  <si>
    <t>ORD0038</t>
  </si>
  <si>
    <t>CUST8526</t>
  </si>
  <si>
    <t>ORD0039</t>
  </si>
  <si>
    <t>CUST5413</t>
  </si>
  <si>
    <t>ORD0040</t>
  </si>
  <si>
    <t>CUST1663</t>
  </si>
  <si>
    <t>ORD0041</t>
  </si>
  <si>
    <t>CUST4304</t>
  </si>
  <si>
    <t>ORD0042</t>
  </si>
  <si>
    <t>CUST7585</t>
  </si>
  <si>
    <t>ORD0043</t>
  </si>
  <si>
    <t>CUST8554</t>
  </si>
  <si>
    <t>ORD0044</t>
  </si>
  <si>
    <t>CUST1698</t>
  </si>
  <si>
    <t>ORD0045</t>
  </si>
  <si>
    <t>CUST1854</t>
  </si>
  <si>
    <t>ORD0046</t>
  </si>
  <si>
    <t>CUST6249</t>
  </si>
  <si>
    <t>ORD0047</t>
  </si>
  <si>
    <t>Watch</t>
  </si>
  <si>
    <t>CUST6535</t>
  </si>
  <si>
    <t>ORD0048</t>
  </si>
  <si>
    <t>CUST5218</t>
  </si>
  <si>
    <t>ORD0049</t>
  </si>
  <si>
    <t>CUST9004</t>
  </si>
  <si>
    <t>ORD0050</t>
  </si>
  <si>
    <t>CUST2930</t>
  </si>
  <si>
    <t>ORD0051</t>
  </si>
  <si>
    <t>CUST3511</t>
  </si>
  <si>
    <t>ORD0052</t>
  </si>
  <si>
    <t>CUST7546</t>
  </si>
  <si>
    <t>ORD0053</t>
  </si>
  <si>
    <t>CUST3911</t>
  </si>
  <si>
    <t>ORD0054</t>
  </si>
  <si>
    <t>CUST2959</t>
  </si>
  <si>
    <t>ORD0055</t>
  </si>
  <si>
    <t>CUST2802</t>
  </si>
  <si>
    <t>ORD0056</t>
  </si>
  <si>
    <t>Puzzle</t>
  </si>
  <si>
    <t>CUST6534</t>
  </si>
  <si>
    <t>ORD0057</t>
  </si>
  <si>
    <t>CUST9815</t>
  </si>
  <si>
    <t>ORD0058</t>
  </si>
  <si>
    <t>Sunglasses</t>
  </si>
  <si>
    <t>CUST3049</t>
  </si>
  <si>
    <t>ORD0059</t>
  </si>
  <si>
    <t>CUST5548</t>
  </si>
  <si>
    <t>ORD0060</t>
  </si>
  <si>
    <t>CUST8400</t>
  </si>
  <si>
    <t>ORD0061</t>
  </si>
  <si>
    <t>CUST2154</t>
  </si>
  <si>
    <t>ORD0062</t>
  </si>
  <si>
    <t>CUST2648</t>
  </si>
  <si>
    <t>ORD0063</t>
  </si>
  <si>
    <t>Science</t>
  </si>
  <si>
    <t>CUST9445</t>
  </si>
  <si>
    <t>ORD0064</t>
  </si>
  <si>
    <t>CUST1098</t>
  </si>
  <si>
    <t>ORD0065</t>
  </si>
  <si>
    <t>CUST5973</t>
  </si>
  <si>
    <t>ORD0066</t>
  </si>
  <si>
    <t>CUST1956</t>
  </si>
  <si>
    <t>ORD0067</t>
  </si>
  <si>
    <t>CUST7944</t>
  </si>
  <si>
    <t>ORD0068</t>
  </si>
  <si>
    <t>CUST7015</t>
  </si>
  <si>
    <t>ORD0069</t>
  </si>
  <si>
    <t>CUST5735</t>
  </si>
  <si>
    <t>ORD0070</t>
  </si>
  <si>
    <t>Sweater</t>
  </si>
  <si>
    <t>CUST9050</t>
  </si>
  <si>
    <t>ORD0071</t>
  </si>
  <si>
    <t>CUST2693</t>
  </si>
  <si>
    <t>ORD0072</t>
  </si>
  <si>
    <t>CUST6895</t>
  </si>
  <si>
    <t>ORD0073</t>
  </si>
  <si>
    <t>CUST8022</t>
  </si>
  <si>
    <t>ORD0074</t>
  </si>
  <si>
    <t>CUST8683</t>
  </si>
  <si>
    <t>ORD0075</t>
  </si>
  <si>
    <t>CUST9208</t>
  </si>
  <si>
    <t>ORD0076</t>
  </si>
  <si>
    <t>CUST2060</t>
  </si>
  <si>
    <t>ORD0077</t>
  </si>
  <si>
    <t>CUST1606</t>
  </si>
  <si>
    <t>ORD0078</t>
  </si>
  <si>
    <t>CUST1190</t>
  </si>
  <si>
    <t>ORD0079</t>
  </si>
  <si>
    <t>CUST4327</t>
  </si>
  <si>
    <t>ORD0080</t>
  </si>
  <si>
    <t>CUST6854</t>
  </si>
  <si>
    <t>ORD0081</t>
  </si>
  <si>
    <t>CUST3733</t>
  </si>
  <si>
    <t>ORD0082</t>
  </si>
  <si>
    <t>CUST2686</t>
  </si>
  <si>
    <t>ORD0083</t>
  </si>
  <si>
    <t>CUST2409</t>
  </si>
  <si>
    <t>ORD0084</t>
  </si>
  <si>
    <t>CUST8343</t>
  </si>
  <si>
    <t>ORD0085</t>
  </si>
  <si>
    <t>CUST1537</t>
  </si>
  <si>
    <t>ORD0086</t>
  </si>
  <si>
    <t>CUST9716</t>
  </si>
  <si>
    <t>ORD0087</t>
  </si>
  <si>
    <t>CUST3368</t>
  </si>
  <si>
    <t>ORD0088</t>
  </si>
  <si>
    <t>CUST7002</t>
  </si>
  <si>
    <t>ORD0089</t>
  </si>
  <si>
    <t>CUST6919</t>
  </si>
  <si>
    <t>ORD0090</t>
  </si>
  <si>
    <t>Laptop</t>
  </si>
  <si>
    <t>CUST4769</t>
  </si>
  <si>
    <t>ORD0091</t>
  </si>
  <si>
    <t>CUST5777</t>
  </si>
  <si>
    <t>ORD0092</t>
  </si>
  <si>
    <t>CUST4124</t>
  </si>
  <si>
    <t>ORD0093</t>
  </si>
  <si>
    <t>CUST1876</t>
  </si>
  <si>
    <t>ORD0094</t>
  </si>
  <si>
    <t>CUST7966</t>
  </si>
  <si>
    <t>ORD0095</t>
  </si>
  <si>
    <t>CUST5465</t>
  </si>
  <si>
    <t>ORD0096</t>
  </si>
  <si>
    <t>CUST6177</t>
  </si>
  <si>
    <t>ORD0097</t>
  </si>
  <si>
    <t>CUST9308</t>
  </si>
  <si>
    <t>ORD0098</t>
  </si>
  <si>
    <t>CUST2664</t>
  </si>
  <si>
    <t>ORD0099</t>
  </si>
  <si>
    <t>Doll</t>
  </si>
  <si>
    <t>CUST8805</t>
  </si>
  <si>
    <t>ORD0100</t>
  </si>
  <si>
    <t>CUST8404</t>
  </si>
  <si>
    <t>ORD0101</t>
  </si>
  <si>
    <t>CUST5070</t>
  </si>
  <si>
    <t>ORD0102</t>
  </si>
  <si>
    <t>CUST9130</t>
  </si>
  <si>
    <t>ORD0103</t>
  </si>
  <si>
    <t>CUST6188</t>
  </si>
  <si>
    <t>ORD0104</t>
  </si>
  <si>
    <t>CUST7617</t>
  </si>
  <si>
    <t>ORD0105</t>
  </si>
  <si>
    <t>CUST8421</t>
  </si>
  <si>
    <t>ORD0106</t>
  </si>
  <si>
    <t>CUST3849</t>
  </si>
  <si>
    <t>ORD0107</t>
  </si>
  <si>
    <t>CUST3489</t>
  </si>
  <si>
    <t>ORD0108</t>
  </si>
  <si>
    <t>CUST3839</t>
  </si>
  <si>
    <t>ORD0109</t>
  </si>
  <si>
    <t>CUST7303</t>
  </si>
  <si>
    <t>ORD0110</t>
  </si>
  <si>
    <t>CUST3427</t>
  </si>
  <si>
    <t>ORD0111</t>
  </si>
  <si>
    <t>CUST6732</t>
  </si>
  <si>
    <t>ORD0112</t>
  </si>
  <si>
    <t>CUST4913</t>
  </si>
  <si>
    <t>ORD0113</t>
  </si>
  <si>
    <t>CUST3082</t>
  </si>
  <si>
    <t>ORD0114</t>
  </si>
  <si>
    <t>CUST7748</t>
  </si>
  <si>
    <t>ORD0115</t>
  </si>
  <si>
    <t>CUST4267</t>
  </si>
  <si>
    <t>ORD0116</t>
  </si>
  <si>
    <t>CUST1412</t>
  </si>
  <si>
    <t>ORD0117</t>
  </si>
  <si>
    <t>CUST8164</t>
  </si>
  <si>
    <t>ORD0118</t>
  </si>
  <si>
    <t>CUST3504</t>
  </si>
  <si>
    <t>ORD0119</t>
  </si>
  <si>
    <t>CUST2122</t>
  </si>
  <si>
    <t>ORD0120</t>
  </si>
  <si>
    <t>CUST3143</t>
  </si>
  <si>
    <t>ORD0121</t>
  </si>
  <si>
    <t>CUST4440</t>
  </si>
  <si>
    <t>ORD0122</t>
  </si>
  <si>
    <t>CUST3914</t>
  </si>
  <si>
    <t>ORD0123</t>
  </si>
  <si>
    <t>CUST9787</t>
  </si>
  <si>
    <t>ORD0124</t>
  </si>
  <si>
    <t>CUST8186</t>
  </si>
  <si>
    <t>ORD0125</t>
  </si>
  <si>
    <t>ORD0126</t>
  </si>
  <si>
    <t>CUST1717</t>
  </si>
  <si>
    <t>ORD0127</t>
  </si>
  <si>
    <t>CUST9335</t>
  </si>
  <si>
    <t>ORD0128</t>
  </si>
  <si>
    <t>CUST8192</t>
  </si>
  <si>
    <t>ORD0129</t>
  </si>
  <si>
    <t>CUST4636</t>
  </si>
  <si>
    <t>ORD0130</t>
  </si>
  <si>
    <t>CUST3156</t>
  </si>
  <si>
    <t>ORD0131</t>
  </si>
  <si>
    <t>CUST7541</t>
  </si>
  <si>
    <t>ORD0132</t>
  </si>
  <si>
    <t>CUST5330</t>
  </si>
  <si>
    <t>ORD0133</t>
  </si>
  <si>
    <t>CUST8241</t>
  </si>
  <si>
    <t>ORD0134</t>
  </si>
  <si>
    <t>CUST6293</t>
  </si>
  <si>
    <t>ORD0135</t>
  </si>
  <si>
    <t>CUST7938</t>
  </si>
  <si>
    <t>ORD0136</t>
  </si>
  <si>
    <t>CUST6541</t>
  </si>
  <si>
    <t>ORD0137</t>
  </si>
  <si>
    <t>CUST2365</t>
  </si>
  <si>
    <t>ORD0138</t>
  </si>
  <si>
    <t>CUST5312</t>
  </si>
  <si>
    <t>ORD0139</t>
  </si>
  <si>
    <t>CUST4486</t>
  </si>
  <si>
    <t>ORD0140</t>
  </si>
  <si>
    <t>CUST5186</t>
  </si>
  <si>
    <t>ORD0141</t>
  </si>
  <si>
    <t>CUST5268</t>
  </si>
  <si>
    <t>ORD0142</t>
  </si>
  <si>
    <t>CUST7619</t>
  </si>
  <si>
    <t>ORD0143</t>
  </si>
  <si>
    <t>CUST4072</t>
  </si>
  <si>
    <t>ORD0144</t>
  </si>
  <si>
    <t>CUST1504</t>
  </si>
  <si>
    <t>ORD0145</t>
  </si>
  <si>
    <t>CUST6029</t>
  </si>
  <si>
    <t>ORD0146</t>
  </si>
  <si>
    <t>CUST7316</t>
  </si>
  <si>
    <t>ORD0147</t>
  </si>
  <si>
    <t>CUST6348</t>
  </si>
  <si>
    <t>ORD0148</t>
  </si>
  <si>
    <t>CUST7190</t>
  </si>
  <si>
    <t>ORD0149</t>
  </si>
  <si>
    <t>ORD0150</t>
  </si>
  <si>
    <t>CUST4330</t>
  </si>
  <si>
    <t>ORD0151</t>
  </si>
  <si>
    <t>CUST2353</t>
  </si>
  <si>
    <t>ORD0152</t>
  </si>
  <si>
    <t>CUST1667</t>
  </si>
  <si>
    <t>ORD0153</t>
  </si>
  <si>
    <t>CUST7819</t>
  </si>
  <si>
    <t>ORD0154</t>
  </si>
  <si>
    <t>CUST1539</t>
  </si>
  <si>
    <t>ORD0155</t>
  </si>
  <si>
    <t>CUST7042</t>
  </si>
  <si>
    <t>ORD0156</t>
  </si>
  <si>
    <t>CUST7132</t>
  </si>
  <si>
    <t>ORD0157</t>
  </si>
  <si>
    <t>CUST1924</t>
  </si>
  <si>
    <t>ORD0158</t>
  </si>
  <si>
    <t>CUST8026</t>
  </si>
  <si>
    <t>ORD0159</t>
  </si>
  <si>
    <t>CUST1009</t>
  </si>
  <si>
    <t>ORD0160</t>
  </si>
  <si>
    <t>CUST6124</t>
  </si>
  <si>
    <t>ORD0161</t>
  </si>
  <si>
    <t>CUST3193</t>
  </si>
  <si>
    <t>ORD0162</t>
  </si>
  <si>
    <t>CUST5158</t>
  </si>
  <si>
    <t>ORD0163</t>
  </si>
  <si>
    <t>CUST5784</t>
  </si>
  <si>
    <t>ORD0164</t>
  </si>
  <si>
    <t>CUST9702</t>
  </si>
  <si>
    <t>ORD0165</t>
  </si>
  <si>
    <t>CUST3000</t>
  </si>
  <si>
    <t>ORD0166</t>
  </si>
  <si>
    <t>CUST2460</t>
  </si>
  <si>
    <t>ORD0167</t>
  </si>
  <si>
    <t>CUST5809</t>
  </si>
  <si>
    <t>ORD0168</t>
  </si>
  <si>
    <t>CUST7600</t>
  </si>
  <si>
    <t>ORD0169</t>
  </si>
  <si>
    <t>CUST8939</t>
  </si>
  <si>
    <t>ORD0170</t>
  </si>
  <si>
    <t>CUST4419</t>
  </si>
  <si>
    <t>ORD0171</t>
  </si>
  <si>
    <t>CUST9865</t>
  </si>
  <si>
    <t>ORD0172</t>
  </si>
  <si>
    <t>CUST5363</t>
  </si>
  <si>
    <t>ORD0173</t>
  </si>
  <si>
    <t>CUST8901</t>
  </si>
  <si>
    <t>ORD0174</t>
  </si>
  <si>
    <t>CUST4374</t>
  </si>
  <si>
    <t>ORD0175</t>
  </si>
  <si>
    <t>CUST5673</t>
  </si>
  <si>
    <t>ORD0176</t>
  </si>
  <si>
    <t>CUST7881</t>
  </si>
  <si>
    <t>ORD0177</t>
  </si>
  <si>
    <t>CUST7941</t>
  </si>
  <si>
    <t>ORD0178</t>
  </si>
  <si>
    <t>CUST5261</t>
  </si>
  <si>
    <t>ORD0179</t>
  </si>
  <si>
    <t>CUST5854</t>
  </si>
  <si>
    <t>ORD0180</t>
  </si>
  <si>
    <t>CUST8043</t>
  </si>
  <si>
    <t>ORD0181</t>
  </si>
  <si>
    <t>CUST4579</t>
  </si>
  <si>
    <t>ORD0182</t>
  </si>
  <si>
    <t>CUST8941</t>
  </si>
  <si>
    <t>ORD0183</t>
  </si>
  <si>
    <t>CUST4818</t>
  </si>
  <si>
    <t>ORD0184</t>
  </si>
  <si>
    <t>CUST8350</t>
  </si>
  <si>
    <t>ORD0185</t>
  </si>
  <si>
    <t>CUST9472</t>
  </si>
  <si>
    <t>ORD0186</t>
  </si>
  <si>
    <t>CUST5188</t>
  </si>
  <si>
    <t>ORD0187</t>
  </si>
  <si>
    <t>CUST8570</t>
  </si>
  <si>
    <t>ORD0188</t>
  </si>
  <si>
    <t>ORD0189</t>
  </si>
  <si>
    <t>CUST7376</t>
  </si>
  <si>
    <t>ORD0190</t>
  </si>
  <si>
    <t>CUST8240</t>
  </si>
  <si>
    <t>ORD0191</t>
  </si>
  <si>
    <t>CUST7493</t>
  </si>
  <si>
    <t>ORD0192</t>
  </si>
  <si>
    <t>CUST2276</t>
  </si>
  <si>
    <t>ORD0193</t>
  </si>
  <si>
    <t>CUST1055</t>
  </si>
  <si>
    <t>ORD0194</t>
  </si>
  <si>
    <t>CUST9150</t>
  </si>
  <si>
    <t>ORD0195</t>
  </si>
  <si>
    <t>CUST5621</t>
  </si>
  <si>
    <t>ORD0196</t>
  </si>
  <si>
    <t>CUST2646</t>
  </si>
  <si>
    <t>ORD0197</t>
  </si>
  <si>
    <t>CUST2531</t>
  </si>
  <si>
    <t>ORD0198</t>
  </si>
  <si>
    <t>CUST2906</t>
  </si>
  <si>
    <t>ORD0199</t>
  </si>
  <si>
    <t>CUST9905</t>
  </si>
  <si>
    <t>ORD0200</t>
  </si>
  <si>
    <t>CUST7229</t>
  </si>
  <si>
    <t>ORD0201</t>
  </si>
  <si>
    <t>CUST7168</t>
  </si>
  <si>
    <t>ORD0202</t>
  </si>
  <si>
    <t>CUST7371</t>
  </si>
  <si>
    <t>ORD0203</t>
  </si>
  <si>
    <t>CUST7891</t>
  </si>
  <si>
    <t>ORD0204</t>
  </si>
  <si>
    <t>CUST3739</t>
  </si>
  <si>
    <t>ORD0205</t>
  </si>
  <si>
    <t>ORD0206</t>
  </si>
  <si>
    <t>ORD0207</t>
  </si>
  <si>
    <t>CUST6622</t>
  </si>
  <si>
    <t>ORD0208</t>
  </si>
  <si>
    <t>CUST4735</t>
  </si>
  <si>
    <t>ORD0209</t>
  </si>
  <si>
    <t>CUST9434</t>
  </si>
  <si>
    <t>ORD0210</t>
  </si>
  <si>
    <t>CUST6342</t>
  </si>
  <si>
    <t>ORD0211</t>
  </si>
  <si>
    <t>CUST9195</t>
  </si>
  <si>
    <t>ORD0212</t>
  </si>
  <si>
    <t>CUST3551</t>
  </si>
  <si>
    <t>ORD0213</t>
  </si>
  <si>
    <t>CUST5289</t>
  </si>
  <si>
    <t>ORD0214</t>
  </si>
  <si>
    <t>CUST7469</t>
  </si>
  <si>
    <t>ORD0215</t>
  </si>
  <si>
    <t>CUST1224</t>
  </si>
  <si>
    <t>ORD0216</t>
  </si>
  <si>
    <t>CUST3048</t>
  </si>
  <si>
    <t>ORD0217</t>
  </si>
  <si>
    <t>CUST7988</t>
  </si>
  <si>
    <t>ORD0218</t>
  </si>
  <si>
    <t>ORD0219</t>
  </si>
  <si>
    <t>CUST8041</t>
  </si>
  <si>
    <t>ORD0220</t>
  </si>
  <si>
    <t>CUST2342</t>
  </si>
  <si>
    <t>ORD0221</t>
  </si>
  <si>
    <t>CUST2994</t>
  </si>
  <si>
    <t>ORD0222</t>
  </si>
  <si>
    <t>CUST8984</t>
  </si>
  <si>
    <t>ORD0223</t>
  </si>
  <si>
    <t>CUST2908</t>
  </si>
  <si>
    <t>ORD0224</t>
  </si>
  <si>
    <t>CUST3635</t>
  </si>
  <si>
    <t>ORD0225</t>
  </si>
  <si>
    <t>CUST4391</t>
  </si>
  <si>
    <t>ORD0226</t>
  </si>
  <si>
    <t>CUST9007</t>
  </si>
  <si>
    <t>ORD0227</t>
  </si>
  <si>
    <t>ORD0228</t>
  </si>
  <si>
    <t>CUST3898</t>
  </si>
  <si>
    <t>ORD0229</t>
  </si>
  <si>
    <t>CUST3136</t>
  </si>
  <si>
    <t>ORD0230</t>
  </si>
  <si>
    <t>CUST7943</t>
  </si>
  <si>
    <t>ORD0231</t>
  </si>
  <si>
    <t>CUST6142</t>
  </si>
  <si>
    <t>ORD0232</t>
  </si>
  <si>
    <t>CUST5033</t>
  </si>
  <si>
    <t>ORD0233</t>
  </si>
  <si>
    <t>CUST2970</t>
  </si>
  <si>
    <t>ORD0234</t>
  </si>
  <si>
    <t>CUST2202</t>
  </si>
  <si>
    <t>ORD0235</t>
  </si>
  <si>
    <t>CUST6742</t>
  </si>
  <si>
    <t>ORD0236</t>
  </si>
  <si>
    <t>CUST1922</t>
  </si>
  <si>
    <t>ORD0237</t>
  </si>
  <si>
    <t>CUST2120</t>
  </si>
  <si>
    <t>ORD0238</t>
  </si>
  <si>
    <t>CUST6373</t>
  </si>
  <si>
    <t>ORD0239</t>
  </si>
  <si>
    <t>CUST5612</t>
  </si>
  <si>
    <t>ORD0240</t>
  </si>
  <si>
    <t>CUST8326</t>
  </si>
  <si>
    <t>ORD0241</t>
  </si>
  <si>
    <t>CUST8863</t>
  </si>
  <si>
    <t>ORD0242</t>
  </si>
  <si>
    <t>CUST3371</t>
  </si>
  <si>
    <t>ORD0243</t>
  </si>
  <si>
    <t>CUST7898</t>
  </si>
  <si>
    <t>ORD0244</t>
  </si>
  <si>
    <t>CUST3116</t>
  </si>
  <si>
    <t>ORD0245</t>
  </si>
  <si>
    <t>CUST7166</t>
  </si>
  <si>
    <t>ORD0246</t>
  </si>
  <si>
    <t>CUST8790</t>
  </si>
  <si>
    <t>ORD0247</t>
  </si>
  <si>
    <t>CUST8147</t>
  </si>
  <si>
    <t>ORD0248</t>
  </si>
  <si>
    <t>CUST4876</t>
  </si>
  <si>
    <t>ORD0249</t>
  </si>
  <si>
    <t>CUST7024</t>
  </si>
  <si>
    <t>ORD0250</t>
  </si>
  <si>
    <t>CUST4368</t>
  </si>
  <si>
    <t>ORD0251</t>
  </si>
  <si>
    <t>ORD0252</t>
  </si>
  <si>
    <t>CUST4030</t>
  </si>
  <si>
    <t>ORD0253</t>
  </si>
  <si>
    <t>CUST5662</t>
  </si>
  <si>
    <t>ORD0254</t>
  </si>
  <si>
    <t>CUST8112</t>
  </si>
  <si>
    <t>ORD0255</t>
  </si>
  <si>
    <t>CUST7456</t>
  </si>
  <si>
    <t>ORD0256</t>
  </si>
  <si>
    <t>CUST9766</t>
  </si>
  <si>
    <t>ORD0257</t>
  </si>
  <si>
    <t>CUST8973</t>
  </si>
  <si>
    <t>ORD0258</t>
  </si>
  <si>
    <t>CUST9609</t>
  </si>
  <si>
    <t>ORD0259</t>
  </si>
  <si>
    <t>CUST5971</t>
  </si>
  <si>
    <t>ORD0260</t>
  </si>
  <si>
    <t>CUST2990</t>
  </si>
  <si>
    <t>ORD0261</t>
  </si>
  <si>
    <t>CUST7320</t>
  </si>
  <si>
    <t>ORD0262</t>
  </si>
  <si>
    <t>CUST6588</t>
  </si>
  <si>
    <t>ORD0263</t>
  </si>
  <si>
    <t>CUST4432</t>
  </si>
  <si>
    <t>ORD0264</t>
  </si>
  <si>
    <t>CUST6182</t>
  </si>
  <si>
    <t>ORD0265</t>
  </si>
  <si>
    <t>CUST2759</t>
  </si>
  <si>
    <t>ORD0266</t>
  </si>
  <si>
    <t>CUST9914</t>
  </si>
  <si>
    <t>ORD0267</t>
  </si>
  <si>
    <t>CUST8311</t>
  </si>
  <si>
    <t>ORD0268</t>
  </si>
  <si>
    <t>CUST6490</t>
  </si>
  <si>
    <t>ORD0269</t>
  </si>
  <si>
    <t>CUST6232</t>
  </si>
  <si>
    <t>ORD0270</t>
  </si>
  <si>
    <t>CUST5926</t>
  </si>
  <si>
    <t>ORD0271</t>
  </si>
  <si>
    <t>CUST9038</t>
  </si>
  <si>
    <t>ORD0272</t>
  </si>
  <si>
    <t>CUST7305</t>
  </si>
  <si>
    <t>ORD0273</t>
  </si>
  <si>
    <t>CUST4462</t>
  </si>
  <si>
    <t>ORD0274</t>
  </si>
  <si>
    <t>CUST6954</t>
  </si>
  <si>
    <t>ORD0275</t>
  </si>
  <si>
    <t>CUST9519</t>
  </si>
  <si>
    <t>ORD0276</t>
  </si>
  <si>
    <t>CUST7722</t>
  </si>
  <si>
    <t>ORD0277</t>
  </si>
  <si>
    <t>CUST8970</t>
  </si>
  <si>
    <t>ORD0278</t>
  </si>
  <si>
    <t>CUST3538</t>
  </si>
  <si>
    <t>ORD0279</t>
  </si>
  <si>
    <t>CUST7612</t>
  </si>
  <si>
    <t>ORD0280</t>
  </si>
  <si>
    <t>CUST5425</t>
  </si>
  <si>
    <t>ORD0281</t>
  </si>
  <si>
    <t>CUST5242</t>
  </si>
  <si>
    <t>ORD0282</t>
  </si>
  <si>
    <t>CUST5177</t>
  </si>
  <si>
    <t>ORD0283</t>
  </si>
  <si>
    <t>CUST7035</t>
  </si>
  <si>
    <t>ORD0284</t>
  </si>
  <si>
    <t>CUST5491</t>
  </si>
  <si>
    <t>ORD0285</t>
  </si>
  <si>
    <t>CUST2279</t>
  </si>
  <si>
    <t>ORD0286</t>
  </si>
  <si>
    <t>CUST6986</t>
  </si>
  <si>
    <t>ORD0287</t>
  </si>
  <si>
    <t>CUST3679</t>
  </si>
  <si>
    <t>ORD0288</t>
  </si>
  <si>
    <t>CUST4186</t>
  </si>
  <si>
    <t>ORD0289</t>
  </si>
  <si>
    <t>ORD0290</t>
  </si>
  <si>
    <t>CUST2301</t>
  </si>
  <si>
    <t>ORD0291</t>
  </si>
  <si>
    <t>ORD0292</t>
  </si>
  <si>
    <t>CUST6475</t>
  </si>
  <si>
    <t>ORD0293</t>
  </si>
  <si>
    <t>CUST6796</t>
  </si>
  <si>
    <t>ORD0294</t>
  </si>
  <si>
    <t>CUST2622</t>
  </si>
  <si>
    <t>ORD0295</t>
  </si>
  <si>
    <t>CUST3074</t>
  </si>
  <si>
    <t>ORD0296</t>
  </si>
  <si>
    <t>CUST5263</t>
  </si>
  <si>
    <t>ORD0297</t>
  </si>
  <si>
    <t>CUST9646</t>
  </si>
  <si>
    <t>ORD0298</t>
  </si>
  <si>
    <t>CUST3681</t>
  </si>
  <si>
    <t>ORD0299</t>
  </si>
  <si>
    <t>CUST3866</t>
  </si>
  <si>
    <t>ORD0300</t>
  </si>
  <si>
    <t>CUST5124</t>
  </si>
  <si>
    <t>ORD0301</t>
  </si>
  <si>
    <t>CUST8679</t>
  </si>
  <si>
    <t>ORD0302</t>
  </si>
  <si>
    <t>CUST2333</t>
  </si>
  <si>
    <t>ORD0303</t>
  </si>
  <si>
    <t>CUST5853</t>
  </si>
  <si>
    <t>ORD0304</t>
  </si>
  <si>
    <t>CUST8715</t>
  </si>
  <si>
    <t>ORD0305</t>
  </si>
  <si>
    <t>CUST8101</t>
  </si>
  <si>
    <t>ORD0306</t>
  </si>
  <si>
    <t>CUST2524</t>
  </si>
  <si>
    <t>ORD0307</t>
  </si>
  <si>
    <t>CUST6760</t>
  </si>
  <si>
    <t>ORD0308</t>
  </si>
  <si>
    <t>CUST7185</t>
  </si>
  <si>
    <t>ORD0309</t>
  </si>
  <si>
    <t>CUST2252</t>
  </si>
  <si>
    <t>ORD0310</t>
  </si>
  <si>
    <t>CUST7667</t>
  </si>
  <si>
    <t>ORD0311</t>
  </si>
  <si>
    <t>CUST5090</t>
  </si>
  <si>
    <t>ORD0312</t>
  </si>
  <si>
    <t>CUST4640</t>
  </si>
  <si>
    <t>ORD0313</t>
  </si>
  <si>
    <t>CUST2341</t>
  </si>
  <si>
    <t>ORD0314</t>
  </si>
  <si>
    <t>CUST3708</t>
  </si>
  <si>
    <t>ORD0315</t>
  </si>
  <si>
    <t>CUST8119</t>
  </si>
  <si>
    <t>ORD0316</t>
  </si>
  <si>
    <t>CUST6387</t>
  </si>
  <si>
    <t>ORD0317</t>
  </si>
  <si>
    <t>CUST5873</t>
  </si>
  <si>
    <t>ORD0318</t>
  </si>
  <si>
    <t>CUST8124</t>
  </si>
  <si>
    <t>ORD0319</t>
  </si>
  <si>
    <t>CUST5430</t>
  </si>
  <si>
    <t>ORD0320</t>
  </si>
  <si>
    <t>ORD0321</t>
  </si>
  <si>
    <t>CUST7737</t>
  </si>
  <si>
    <t>ORD0322</t>
  </si>
  <si>
    <t>CUST2466</t>
  </si>
  <si>
    <t>ORD0323</t>
  </si>
  <si>
    <t>CUST4223</t>
  </si>
  <si>
    <t>ORD0324</t>
  </si>
  <si>
    <t>CUST1130</t>
  </si>
  <si>
    <t>ORD0325</t>
  </si>
  <si>
    <t>CUST5278</t>
  </si>
  <si>
    <t>ORD0326</t>
  </si>
  <si>
    <t>CUST7640</t>
  </si>
  <si>
    <t>ORD0327</t>
  </si>
  <si>
    <t>CUST8564</t>
  </si>
  <si>
    <t>ORD0328</t>
  </si>
  <si>
    <t>CUST9502</t>
  </si>
  <si>
    <t>ORD0329</t>
  </si>
  <si>
    <t>CUST5346</t>
  </si>
  <si>
    <t>ORD0330</t>
  </si>
  <si>
    <t>CUST4810</t>
  </si>
  <si>
    <t>ORD0331</t>
  </si>
  <si>
    <t>CUST3032</t>
  </si>
  <si>
    <t>ORD0332</t>
  </si>
  <si>
    <t>CUST4511</t>
  </si>
  <si>
    <t>ORD0333</t>
  </si>
  <si>
    <t>CUST9190</t>
  </si>
  <si>
    <t>ORD0334</t>
  </si>
  <si>
    <t>CUST4760</t>
  </si>
  <si>
    <t>ORD0335</t>
  </si>
  <si>
    <t>CUST3033</t>
  </si>
  <si>
    <t>ORD0336</t>
  </si>
  <si>
    <t>CUST8832</t>
  </si>
  <si>
    <t>ORD0337</t>
  </si>
  <si>
    <t>CUST3632</t>
  </si>
  <si>
    <t>ORD0338</t>
  </si>
  <si>
    <t>CUST2828</t>
  </si>
  <si>
    <t>ORD0339</t>
  </si>
  <si>
    <t>CUST1806</t>
  </si>
  <si>
    <t>ORD0340</t>
  </si>
  <si>
    <t>CUST9202</t>
  </si>
  <si>
    <t>ORD0341</t>
  </si>
  <si>
    <t>CUST6690</t>
  </si>
  <si>
    <t>ORD0342</t>
  </si>
  <si>
    <t>CUST6429</t>
  </si>
  <si>
    <t>ORD0343</t>
  </si>
  <si>
    <t>CUST8274</t>
  </si>
  <si>
    <t>ORD0344</t>
  </si>
  <si>
    <t>CUST7402</t>
  </si>
  <si>
    <t>ORD0345</t>
  </si>
  <si>
    <t>CUST9245</t>
  </si>
  <si>
    <t>ORD0346</t>
  </si>
  <si>
    <t>CUST2913</t>
  </si>
  <si>
    <t>ORD0347</t>
  </si>
  <si>
    <t>CUST3466</t>
  </si>
  <si>
    <t>ORD0348</t>
  </si>
  <si>
    <t>CUST9194</t>
  </si>
  <si>
    <t>ORD0349</t>
  </si>
  <si>
    <t>CUST1892</t>
  </si>
  <si>
    <t>ORD0350</t>
  </si>
  <si>
    <t>CUST2380</t>
  </si>
  <si>
    <t>ORD0351</t>
  </si>
  <si>
    <t>CUST8490</t>
  </si>
  <si>
    <t>ORD0352</t>
  </si>
  <si>
    <t>CUST1954</t>
  </si>
  <si>
    <t>ORD0353</t>
  </si>
  <si>
    <t>CUST5133</t>
  </si>
  <si>
    <t>ORD0354</t>
  </si>
  <si>
    <t>CUST9228</t>
  </si>
  <si>
    <t>ORD0355</t>
  </si>
  <si>
    <t>CUST1317</t>
  </si>
  <si>
    <t>ORD0356</t>
  </si>
  <si>
    <t>CUST7183</t>
  </si>
  <si>
    <t>ORD0357</t>
  </si>
  <si>
    <t>CUST3383</t>
  </si>
  <si>
    <t>ORD0358</t>
  </si>
  <si>
    <t>CUST2704</t>
  </si>
  <si>
    <t>ORD0359</t>
  </si>
  <si>
    <t>CUST5286</t>
  </si>
  <si>
    <t>ORD0360</t>
  </si>
  <si>
    <t>CUST1556</t>
  </si>
  <si>
    <t>ORD0361</t>
  </si>
  <si>
    <t>CUST8561</t>
  </si>
  <si>
    <t>ORD0362</t>
  </si>
  <si>
    <t>CUST3403</t>
  </si>
  <si>
    <t>ORD0363</t>
  </si>
  <si>
    <t>CUST1294</t>
  </si>
  <si>
    <t>ORD0364</t>
  </si>
  <si>
    <t>CUST2136</t>
  </si>
  <si>
    <t>ORD0365</t>
  </si>
  <si>
    <t>CUST8009</t>
  </si>
  <si>
    <t>ORD0366</t>
  </si>
  <si>
    <t>CUST6352</t>
  </si>
  <si>
    <t>ORD0367</t>
  </si>
  <si>
    <t>CUST3382</t>
  </si>
  <si>
    <t>ORD0368</t>
  </si>
  <si>
    <t>CUST8059</t>
  </si>
  <si>
    <t>ORD0369</t>
  </si>
  <si>
    <t>CUST2040</t>
  </si>
  <si>
    <t>ORD0370</t>
  </si>
  <si>
    <t>CUST3752</t>
  </si>
  <si>
    <t>ORD0371</t>
  </si>
  <si>
    <t>CUST3353</t>
  </si>
  <si>
    <t>ORD0372</t>
  </si>
  <si>
    <t>CUST3428</t>
  </si>
  <si>
    <t>ORD0373</t>
  </si>
  <si>
    <t>CUST8813</t>
  </si>
  <si>
    <t>ORD0374</t>
  </si>
  <si>
    <t>CUST4356</t>
  </si>
  <si>
    <t>ORD0375</t>
  </si>
  <si>
    <t>CUST1038</t>
  </si>
  <si>
    <t>ORD0376</t>
  </si>
  <si>
    <t>CUST8027</t>
  </si>
  <si>
    <t>ORD0377</t>
  </si>
  <si>
    <t>CUST4093</t>
  </si>
  <si>
    <t>ORD0378</t>
  </si>
  <si>
    <t>CUST1988</t>
  </si>
  <si>
    <t>ORD0379</t>
  </si>
  <si>
    <t>CUST5179</t>
  </si>
  <si>
    <t>ORD0380</t>
  </si>
  <si>
    <t>CUST6626</t>
  </si>
  <si>
    <t>ORD0381</t>
  </si>
  <si>
    <t>CUST4598</t>
  </si>
  <si>
    <t>ORD0382</t>
  </si>
  <si>
    <t>CUST4056</t>
  </si>
  <si>
    <t>ORD0383</t>
  </si>
  <si>
    <t>CUST6390</t>
  </si>
  <si>
    <t>ORD0384</t>
  </si>
  <si>
    <t>CUST6776</t>
  </si>
  <si>
    <t>ORD0385</t>
  </si>
  <si>
    <t>CUST4633</t>
  </si>
  <si>
    <t>ORD0386</t>
  </si>
  <si>
    <t>CUST1959</t>
  </si>
  <si>
    <t>ORD0387</t>
  </si>
  <si>
    <t>CUST3946</t>
  </si>
  <si>
    <t>ORD0388</t>
  </si>
  <si>
    <t>CUST2875</t>
  </si>
  <si>
    <t>ORD0389</t>
  </si>
  <si>
    <t>CUST8099</t>
  </si>
  <si>
    <t>ORD0390</t>
  </si>
  <si>
    <t>CUST3433</t>
  </si>
  <si>
    <t>ORD0391</t>
  </si>
  <si>
    <t>CUST4788</t>
  </si>
  <si>
    <t>ORD0392</t>
  </si>
  <si>
    <t>CUST2389</t>
  </si>
  <si>
    <t>ORD0393</t>
  </si>
  <si>
    <t>CUST9920</t>
  </si>
  <si>
    <t>ORD0394</t>
  </si>
  <si>
    <t>CUST1778</t>
  </si>
  <si>
    <t>ORD0395</t>
  </si>
  <si>
    <t>CUST7731</t>
  </si>
  <si>
    <t>ORD0396</t>
  </si>
  <si>
    <t>CUST9783</t>
  </si>
  <si>
    <t>ORD0397</t>
  </si>
  <si>
    <t>CUST3720</t>
  </si>
  <si>
    <t>ORD0398</t>
  </si>
  <si>
    <t>CUST1001</t>
  </si>
  <si>
    <t>ORD0399</t>
  </si>
  <si>
    <t>CUST2949</t>
  </si>
  <si>
    <t>ORD0400</t>
  </si>
  <si>
    <t>CUST1917</t>
  </si>
  <si>
    <t>ORD0401</t>
  </si>
  <si>
    <t>CUST1089</t>
  </si>
  <si>
    <t>ORD0402</t>
  </si>
  <si>
    <t>CUST9619</t>
  </si>
  <si>
    <t>ORD0403</t>
  </si>
  <si>
    <t>CUST7082</t>
  </si>
  <si>
    <t>ORD0404</t>
  </si>
  <si>
    <t>CUST1552</t>
  </si>
  <si>
    <t>ORD0405</t>
  </si>
  <si>
    <t>CUST4389</t>
  </si>
  <si>
    <t>ORD0406</t>
  </si>
  <si>
    <t>CUST3430</t>
  </si>
  <si>
    <t>ORD0407</t>
  </si>
  <si>
    <t>CUST1899</t>
  </si>
  <si>
    <t>ORD0408</t>
  </si>
  <si>
    <t>CUST1894</t>
  </si>
  <si>
    <t>ORD0409</t>
  </si>
  <si>
    <t>CUST5109</t>
  </si>
  <si>
    <t>ORD0410</t>
  </si>
  <si>
    <t>CUST2560</t>
  </si>
  <si>
    <t>ORD0411</t>
  </si>
  <si>
    <t>CUST9941</t>
  </si>
  <si>
    <t>ORD0412</t>
  </si>
  <si>
    <t>CUST3356</t>
  </si>
  <si>
    <t>ORD0413</t>
  </si>
  <si>
    <t>CUST4665</t>
  </si>
  <si>
    <t>ORD0414</t>
  </si>
  <si>
    <t>CUST5644</t>
  </si>
  <si>
    <t>ORD0415</t>
  </si>
  <si>
    <t>CUST9946</t>
  </si>
  <si>
    <t>ORD0416</t>
  </si>
  <si>
    <t>CUST7078</t>
  </si>
  <si>
    <t>ORD0417</t>
  </si>
  <si>
    <t>CUST8005</t>
  </si>
  <si>
    <t>ORD0418</t>
  </si>
  <si>
    <t>CUST3071</t>
  </si>
  <si>
    <t>ORD0419</t>
  </si>
  <si>
    <t>CUST4453</t>
  </si>
  <si>
    <t>ORD0420</t>
  </si>
  <si>
    <t>CUST2712</t>
  </si>
  <si>
    <t>ORD0421</t>
  </si>
  <si>
    <t>CUST6631</t>
  </si>
  <si>
    <t>ORD0422</t>
  </si>
  <si>
    <t>CUST2394</t>
  </si>
  <si>
    <t>ORD0423</t>
  </si>
  <si>
    <t>CUST1529</t>
  </si>
  <si>
    <t>ORD0424</t>
  </si>
  <si>
    <t>CUST4591</t>
  </si>
  <si>
    <t>ORD0425</t>
  </si>
  <si>
    <t>CUST1525</t>
  </si>
  <si>
    <t>ORD0426</t>
  </si>
  <si>
    <t>CUST5648</t>
  </si>
  <si>
    <t>ORD0427</t>
  </si>
  <si>
    <t>CUST1013</t>
  </si>
  <si>
    <t>ORD0428</t>
  </si>
  <si>
    <t>CUST9321</t>
  </si>
  <si>
    <t>ORD0429</t>
  </si>
  <si>
    <t>CUST9219</t>
  </si>
  <si>
    <t>ORD0430</t>
  </si>
  <si>
    <t>CUST6543</t>
  </si>
  <si>
    <t>ORD0431</t>
  </si>
  <si>
    <t>ORD0432</t>
  </si>
  <si>
    <t>CUST6724</t>
  </si>
  <si>
    <t>ORD0433</t>
  </si>
  <si>
    <t>ORD0434</t>
  </si>
  <si>
    <t>CUST7099</t>
  </si>
  <si>
    <t>ORD0435</t>
  </si>
  <si>
    <t>CUST7116</t>
  </si>
  <si>
    <t>ORD0436</t>
  </si>
  <si>
    <t>CUST3203</t>
  </si>
  <si>
    <t>ORD0437</t>
  </si>
  <si>
    <t>CUST2939</t>
  </si>
  <si>
    <t>ORD0438</t>
  </si>
  <si>
    <t>CUST1281</t>
  </si>
  <si>
    <t>ORD0439</t>
  </si>
  <si>
    <t>CUST6178</t>
  </si>
  <si>
    <t>ORD0440</t>
  </si>
  <si>
    <t>CUST2229</t>
  </si>
  <si>
    <t>ORD0441</t>
  </si>
  <si>
    <t>CUST6370</t>
  </si>
  <si>
    <t>ORD0442</t>
  </si>
  <si>
    <t>ORD0443</t>
  </si>
  <si>
    <t>CUST8595</t>
  </si>
  <si>
    <t>ORD0444</t>
  </si>
  <si>
    <t>CUST6757</t>
  </si>
  <si>
    <t>ORD0445</t>
  </si>
  <si>
    <t>CUST1891</t>
  </si>
  <si>
    <t>ORD0446</t>
  </si>
  <si>
    <t>CUST9320</t>
  </si>
  <si>
    <t>ORD0447</t>
  </si>
  <si>
    <t>ORD0448</t>
  </si>
  <si>
    <t>CUST6238</t>
  </si>
  <si>
    <t>ORD0449</t>
  </si>
  <si>
    <t>CUST4719</t>
  </si>
  <si>
    <t>ORD0450</t>
  </si>
  <si>
    <t>CUST5440</t>
  </si>
  <si>
    <t>ORD0451</t>
  </si>
  <si>
    <t>ORD0452</t>
  </si>
  <si>
    <t>CUST4291</t>
  </si>
  <si>
    <t>ORD0453</t>
  </si>
  <si>
    <t>CUST1574</t>
  </si>
  <si>
    <t>ORD0454</t>
  </si>
  <si>
    <t>CUST7924</t>
  </si>
  <si>
    <t>ORD0455</t>
  </si>
  <si>
    <t>CUST1488</t>
  </si>
  <si>
    <t>ORD0456</t>
  </si>
  <si>
    <t>CUST2667</t>
  </si>
  <si>
    <t>ORD0457</t>
  </si>
  <si>
    <t>CUST8761</t>
  </si>
  <si>
    <t>ORD0458</t>
  </si>
  <si>
    <t>CUST6450</t>
  </si>
  <si>
    <t>ORD0459</t>
  </si>
  <si>
    <t>CUST1454</t>
  </si>
  <si>
    <t>ORD0460</t>
  </si>
  <si>
    <t>CUST5806</t>
  </si>
  <si>
    <t>ORD0461</t>
  </si>
  <si>
    <t>CUST6592</t>
  </si>
  <si>
    <t>ORD0462</t>
  </si>
  <si>
    <t>CUST7059</t>
  </si>
  <si>
    <t>ORD0463</t>
  </si>
  <si>
    <t>CUST8117</t>
  </si>
  <si>
    <t>ORD0464</t>
  </si>
  <si>
    <t>CUST7228</t>
  </si>
  <si>
    <t>ORD0465</t>
  </si>
  <si>
    <t>CUST2177</t>
  </si>
  <si>
    <t>ORD0466</t>
  </si>
  <si>
    <t>CUST5399</t>
  </si>
  <si>
    <t>ORD0467</t>
  </si>
  <si>
    <t>CUST9234</t>
  </si>
  <si>
    <t>ORD0468</t>
  </si>
  <si>
    <t>CUST7570</t>
  </si>
  <si>
    <t>ORD0469</t>
  </si>
  <si>
    <t>CUST6243</t>
  </si>
  <si>
    <t>ORD0470</t>
  </si>
  <si>
    <t>CUST1140</t>
  </si>
  <si>
    <t>ORD0471</t>
  </si>
  <si>
    <t>CUST7012</t>
  </si>
  <si>
    <t>ORD0472</t>
  </si>
  <si>
    <t>CUST4610</t>
  </si>
  <si>
    <t>ORD0473</t>
  </si>
  <si>
    <t>CUST6539</t>
  </si>
  <si>
    <t>ORD0474</t>
  </si>
  <si>
    <t>CUST7787</t>
  </si>
  <si>
    <t>ORD0475</t>
  </si>
  <si>
    <t>CUST8052</t>
  </si>
  <si>
    <t>ORD0476</t>
  </si>
  <si>
    <t>CUST9105</t>
  </si>
  <si>
    <t>ORD0477</t>
  </si>
  <si>
    <t>CUST2798</t>
  </si>
  <si>
    <t>ORD0478</t>
  </si>
  <si>
    <t>CUST7284</t>
  </si>
  <si>
    <t>ORD0479</t>
  </si>
  <si>
    <t>CUST7869</t>
  </si>
  <si>
    <t>ORD0480</t>
  </si>
  <si>
    <t>ORD0481</t>
  </si>
  <si>
    <t>CUST7295</t>
  </si>
  <si>
    <t>ORD0482</t>
  </si>
  <si>
    <t>CUST6699</t>
  </si>
  <si>
    <t>ORD0483</t>
  </si>
  <si>
    <t>CUST8227</t>
  </si>
  <si>
    <t>ORD0484</t>
  </si>
  <si>
    <t>CUST6010</t>
  </si>
  <si>
    <t>ORD0485</t>
  </si>
  <si>
    <t>CUST1482</t>
  </si>
  <si>
    <t>ORD0486</t>
  </si>
  <si>
    <t>CUST9853</t>
  </si>
  <si>
    <t>ORD0487</t>
  </si>
  <si>
    <t>CUST8622</t>
  </si>
  <si>
    <t>ORD0488</t>
  </si>
  <si>
    <t>CUST9632</t>
  </si>
  <si>
    <t>ORD0489</t>
  </si>
  <si>
    <t>CUST5358</t>
  </si>
  <si>
    <t>ORD0490</t>
  </si>
  <si>
    <t>CUST7780</t>
  </si>
  <si>
    <t>ORD0491</t>
  </si>
  <si>
    <t>CUST3349</t>
  </si>
  <si>
    <t>ORD0492</t>
  </si>
  <si>
    <t>CUST7764</t>
  </si>
  <si>
    <t>ORD0493</t>
  </si>
  <si>
    <t>CUST8843</t>
  </si>
  <si>
    <t>ORD0494</t>
  </si>
  <si>
    <t>CUST6189</t>
  </si>
  <si>
    <t>ORD0495</t>
  </si>
  <si>
    <t>CUST7704</t>
  </si>
  <si>
    <t>ORD0496</t>
  </si>
  <si>
    <t>ORD0497</t>
  </si>
  <si>
    <t>CUST9258</t>
  </si>
  <si>
    <t>ORD0498</t>
  </si>
  <si>
    <t>CUST8426</t>
  </si>
  <si>
    <t>ORD0499</t>
  </si>
  <si>
    <t>CUST6291</t>
  </si>
  <si>
    <t>ORD0500</t>
  </si>
  <si>
    <t>CUST5211</t>
  </si>
  <si>
    <t>Order Day</t>
  </si>
  <si>
    <t>Amount rounded off</t>
  </si>
  <si>
    <t>average</t>
  </si>
  <si>
    <t>min</t>
  </si>
  <si>
    <t>max</t>
  </si>
  <si>
    <t>sales</t>
  </si>
  <si>
    <t>ORDER NO</t>
  </si>
  <si>
    <t>PRODUCT</t>
  </si>
  <si>
    <t>payment</t>
  </si>
  <si>
    <t>ORD00502</t>
  </si>
  <si>
    <t>Region</t>
  </si>
  <si>
    <t>Monday</t>
  </si>
  <si>
    <t>ALL DAYS</t>
  </si>
  <si>
    <t>STATISTICS</t>
  </si>
  <si>
    <t>AMOUNT</t>
  </si>
  <si>
    <t>AVERAGE , MIN MAX</t>
  </si>
  <si>
    <t>SUMIF,SUMIFS</t>
  </si>
  <si>
    <t>VLOOKUP</t>
  </si>
  <si>
    <t>Amount</t>
  </si>
  <si>
    <t>Row Labels</t>
  </si>
  <si>
    <t>Grand Total</t>
  </si>
  <si>
    <t>Column Labels</t>
  </si>
  <si>
    <t>Tuesday</t>
  </si>
  <si>
    <t>Wednesday</t>
  </si>
  <si>
    <t>Thursday</t>
  </si>
  <si>
    <t>Friday</t>
  </si>
  <si>
    <t>Saturday</t>
  </si>
  <si>
    <t>Sunday</t>
  </si>
  <si>
    <t>Sum of Quantity</t>
  </si>
  <si>
    <t>Count of Order Day</t>
  </si>
  <si>
    <t>Count of PaymentMethod</t>
  </si>
  <si>
    <t>Count of Product</t>
  </si>
</sst>
</file>

<file path=xl/styles.xml><?xml version="1.0" encoding="utf-8"?>
<styleSheet xmlns="http://schemas.openxmlformats.org/spreadsheetml/2006/main" xmlns:mc="http://schemas.openxmlformats.org/markup-compatibility/2006" xmlns:x14ac="http://schemas.microsoft.com/office/spreadsheetml/2009/9/ac" mc:Ignorable="x14ac">
  <fonts count="2" x14ac:knownFonts="1">
    <font>
      <sz val="11"/>
      <color theme="1"/>
      <name val="Calibri"/>
      <family val="2"/>
      <scheme val="minor"/>
    </font>
    <font>
      <b/>
      <sz val="11"/>
      <color theme="0"/>
      <name val="Calibri"/>
      <family val="2"/>
      <scheme val="minor"/>
    </font>
  </fonts>
  <fills count="7">
    <fill>
      <patternFill patternType="none"/>
    </fill>
    <fill>
      <patternFill patternType="gray125"/>
    </fill>
    <fill>
      <patternFill patternType="solid">
        <fgColor theme="4"/>
        <bgColor theme="4"/>
      </patternFill>
    </fill>
    <fill>
      <patternFill patternType="solid">
        <fgColor theme="4" tint="0.79998168889431442"/>
        <bgColor theme="4" tint="0.79998168889431442"/>
      </patternFill>
    </fill>
    <fill>
      <patternFill patternType="solid">
        <fgColor theme="7" tint="0.39997558519241921"/>
        <bgColor indexed="64"/>
      </patternFill>
    </fill>
    <fill>
      <patternFill patternType="solid">
        <fgColor theme="9" tint="0.59999389629810485"/>
        <bgColor indexed="64"/>
      </patternFill>
    </fill>
    <fill>
      <patternFill patternType="solid">
        <fgColor theme="7" tint="0.59999389629810485"/>
        <bgColor indexed="64"/>
      </patternFill>
    </fill>
  </fills>
  <borders count="5">
    <border>
      <left/>
      <right/>
      <top/>
      <bottom/>
      <diagonal/>
    </border>
    <border>
      <left/>
      <right/>
      <top style="thin">
        <color theme="4" tint="0.39997558519241921"/>
      </top>
      <bottom style="thin">
        <color theme="4" tint="0.39997558519241921"/>
      </bottom>
      <diagonal/>
    </border>
    <border>
      <left style="thin">
        <color theme="4" tint="0.39997558519241921"/>
      </left>
      <right/>
      <top style="thin">
        <color theme="4" tint="0.39997558519241921"/>
      </top>
      <bottom style="thin">
        <color theme="4" tint="0.39997558519241921"/>
      </bottom>
      <diagonal/>
    </border>
    <border>
      <left style="thin">
        <color theme="4" tint="0.39997558519241921"/>
      </left>
      <right/>
      <top style="thin">
        <color theme="4" tint="0.39997558519241921"/>
      </top>
      <bottom/>
      <diagonal/>
    </border>
    <border>
      <left/>
      <right/>
      <top style="thin">
        <color theme="4" tint="0.39997558519241921"/>
      </top>
      <bottom/>
      <diagonal/>
    </border>
  </borders>
  <cellStyleXfs count="1">
    <xf numFmtId="0" fontId="0" fillId="0" borderId="0"/>
  </cellStyleXfs>
  <cellXfs count="24">
    <xf numFmtId="0" fontId="0" fillId="0" borderId="0" xfId="0"/>
    <xf numFmtId="0" fontId="0" fillId="0" borderId="1" xfId="0" applyFont="1" applyBorder="1"/>
    <xf numFmtId="14" fontId="0" fillId="0" borderId="1" xfId="0" applyNumberFormat="1" applyFont="1" applyBorder="1"/>
    <xf numFmtId="0" fontId="1" fillId="2" borderId="3" xfId="0" applyFont="1" applyFill="1" applyBorder="1"/>
    <xf numFmtId="0" fontId="1" fillId="2" borderId="4" xfId="0" applyFont="1" applyFill="1" applyBorder="1"/>
    <xf numFmtId="0" fontId="0" fillId="3" borderId="3" xfId="0" applyFont="1" applyFill="1" applyBorder="1"/>
    <xf numFmtId="0" fontId="0" fillId="3" borderId="4" xfId="0" applyFont="1" applyFill="1" applyBorder="1"/>
    <xf numFmtId="14" fontId="0" fillId="3" borderId="4" xfId="0" applyNumberFormat="1" applyFont="1" applyFill="1" applyBorder="1"/>
    <xf numFmtId="0" fontId="0" fillId="0" borderId="3" xfId="0" applyFont="1" applyBorder="1"/>
    <xf numFmtId="0" fontId="0" fillId="0" borderId="4" xfId="0" applyFont="1" applyBorder="1"/>
    <xf numFmtId="14" fontId="0" fillId="0" borderId="4" xfId="0" applyNumberFormat="1" applyFont="1" applyBorder="1"/>
    <xf numFmtId="0" fontId="0" fillId="0" borderId="2" xfId="0" applyFont="1" applyBorder="1"/>
    <xf numFmtId="0" fontId="1" fillId="2" borderId="0" xfId="0" applyFont="1" applyFill="1" applyBorder="1"/>
    <xf numFmtId="0" fontId="0" fillId="3" borderId="0" xfId="0" applyFont="1" applyFill="1" applyBorder="1"/>
    <xf numFmtId="0" fontId="0" fillId="4" borderId="0" xfId="0" applyFill="1"/>
    <xf numFmtId="0" fontId="0" fillId="5" borderId="0" xfId="0" applyFill="1"/>
    <xf numFmtId="0" fontId="0" fillId="6" borderId="0" xfId="0" applyFill="1"/>
    <xf numFmtId="0" fontId="0" fillId="0" borderId="0" xfId="0" applyFill="1"/>
    <xf numFmtId="0" fontId="0" fillId="0" borderId="0" xfId="0" applyFont="1" applyFill="1" applyBorder="1"/>
    <xf numFmtId="0" fontId="0" fillId="0" borderId="0" xfId="0" pivotButton="1"/>
    <xf numFmtId="0" fontId="0" fillId="0" borderId="0" xfId="0" applyAlignment="1">
      <alignment horizontal="left"/>
    </xf>
    <xf numFmtId="0" fontId="0" fillId="0" borderId="0" xfId="0" applyAlignment="1">
      <alignment horizontal="left" indent="1"/>
    </xf>
    <xf numFmtId="0" fontId="0" fillId="0" borderId="0" xfId="0" applyNumberFormat="1"/>
    <xf numFmtId="10" fontId="0" fillId="0" borderId="0" xfId="0" applyNumberForma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2.xml"/><Relationship Id="rId5" Type="http://schemas.microsoft.com/office/2007/relationships/slicerCache" Target="slicerCaches/slicerCache1.xml"/><Relationship Id="rId10" Type="http://schemas.openxmlformats.org/officeDocument/2006/relationships/calcChain" Target="calcChain.xml"/><Relationship Id="rId4" Type="http://schemas.openxmlformats.org/officeDocument/2006/relationships/pivotCacheDefinition" Target="pivotCache/pivotCacheDefinition1.xml"/><Relationship Id="rId9" Type="http://schemas.openxmlformats.org/officeDocument/2006/relationships/sharedStrings" Target="sharedStrings.xml"/></Relationships>
</file>

<file path=xl/charts/chart1.xml><?xml version="1.0" encoding="utf-8"?>
<c:chartSpace xmlns:c="http://schemas.openxmlformats.org/drawingml/2006/chart" xmlns:a="http://schemas.openxmlformats.org/drawingml/2006/main" xmlns:r="http://schemas.openxmlformats.org/officeDocument/2006/relationships">
  <c:date1904 val="0"/>
  <c:lang val="en-IN"/>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a:pPr>
            <a:r>
              <a:rPr lang="en-IN"/>
              <a:t>Monday sales according </a:t>
            </a:r>
          </a:p>
          <a:p>
            <a:pPr>
              <a:defRPr/>
            </a:pPr>
            <a:r>
              <a:rPr lang="en-IN"/>
              <a:t>to Region</a:t>
            </a:r>
          </a:p>
        </c:rich>
      </c:tx>
      <c:overlay val="0"/>
    </c:title>
    <c:autoTitleDeleted val="0"/>
    <c:plotArea>
      <c:layout/>
      <c:pieChart>
        <c:varyColors val="1"/>
        <c:ser>
          <c:idx val="0"/>
          <c:order val="0"/>
          <c:tx>
            <c:strRef>
              <c:f>data!$S$1</c:f>
              <c:strCache>
                <c:ptCount val="1"/>
                <c:pt idx="0">
                  <c:v>Monday</c:v>
                </c:pt>
              </c:strCache>
            </c:strRef>
          </c:tx>
          <c:cat>
            <c:strRef>
              <c:f>data!$R$2:$R$5</c:f>
              <c:strCache>
                <c:ptCount val="4"/>
                <c:pt idx="0">
                  <c:v>North</c:v>
                </c:pt>
                <c:pt idx="1">
                  <c:v>South</c:v>
                </c:pt>
                <c:pt idx="2">
                  <c:v>East</c:v>
                </c:pt>
                <c:pt idx="3">
                  <c:v>West</c:v>
                </c:pt>
              </c:strCache>
            </c:strRef>
          </c:cat>
          <c:val>
            <c:numRef>
              <c:f>data!$S$2:$S$5</c:f>
              <c:numCache>
                <c:formatCode>General</c:formatCode>
                <c:ptCount val="4"/>
                <c:pt idx="0">
                  <c:v>26249</c:v>
                </c:pt>
                <c:pt idx="1">
                  <c:v>27848</c:v>
                </c:pt>
                <c:pt idx="2">
                  <c:v>20382</c:v>
                </c:pt>
                <c:pt idx="3">
                  <c:v>0</c:v>
                </c:pt>
              </c:numCache>
            </c:numRef>
          </c:val>
        </c:ser>
        <c:dLbls>
          <c:showLegendKey val="0"/>
          <c:showVal val="0"/>
          <c:showCatName val="0"/>
          <c:showSerName val="0"/>
          <c:showPercent val="0"/>
          <c:showBubbleSize val="0"/>
          <c:showLeaderLines val="1"/>
        </c:dLbls>
        <c:firstSliceAng val="0"/>
      </c:pieChart>
    </c:plotArea>
    <c:legend>
      <c:legendPos val="r"/>
      <c:overlay val="0"/>
    </c:legend>
    <c:plotVisOnly val="1"/>
    <c:dispBlanksAs val="gap"/>
    <c:showDLblsOverMax val="0"/>
  </c:chart>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c:date1904 val="0"/>
  <c:lang val="en-IN"/>
  <c:roundedCorners val="0"/>
  <mc:AlternateContent xmlns:mc="http://schemas.openxmlformats.org/markup-compatibility/2006">
    <mc:Choice xmlns:c14="http://schemas.microsoft.com/office/drawing/2007/8/2/chart" Requires="c14">
      <c14:style val="108"/>
    </mc:Choice>
    <mc:Fallback>
      <c:style val="8"/>
    </mc:Fallback>
  </mc:AlternateContent>
  <c:chart>
    <c:title>
      <c:tx>
        <c:rich>
          <a:bodyPr/>
          <a:lstStyle/>
          <a:p>
            <a:pPr>
              <a:defRPr/>
            </a:pPr>
            <a:r>
              <a:rPr lang="en-US"/>
              <a:t>Sales by Category</a:t>
            </a:r>
          </a:p>
        </c:rich>
      </c:tx>
      <c:overlay val="0"/>
    </c:title>
    <c:autoTitleDeleted val="0"/>
    <c:view3D>
      <c:rotX val="15"/>
      <c:rotY val="20"/>
      <c:rAngAx val="1"/>
    </c:view3D>
    <c:floor>
      <c:thickness val="0"/>
    </c:floor>
    <c:sideWall>
      <c:thickness val="0"/>
    </c:sideWall>
    <c:backWall>
      <c:thickness val="0"/>
    </c:backWall>
    <c:plotArea>
      <c:layout/>
      <c:bar3DChart>
        <c:barDir val="col"/>
        <c:grouping val="stacked"/>
        <c:varyColors val="0"/>
        <c:ser>
          <c:idx val="0"/>
          <c:order val="0"/>
          <c:tx>
            <c:strRef>
              <c:f>data!$AA$1</c:f>
              <c:strCache>
                <c:ptCount val="1"/>
                <c:pt idx="0">
                  <c:v>Amount</c:v>
                </c:pt>
              </c:strCache>
            </c:strRef>
          </c:tx>
          <c:invertIfNegative val="0"/>
          <c:cat>
            <c:strRef>
              <c:f>data!$Z$2:$Z$7</c:f>
              <c:strCache>
                <c:ptCount val="6"/>
                <c:pt idx="0">
                  <c:v>Toys</c:v>
                </c:pt>
                <c:pt idx="1">
                  <c:v>Books</c:v>
                </c:pt>
                <c:pt idx="2">
                  <c:v>Electronics</c:v>
                </c:pt>
                <c:pt idx="3">
                  <c:v>Clothing</c:v>
                </c:pt>
                <c:pt idx="4">
                  <c:v>Accessories</c:v>
                </c:pt>
                <c:pt idx="5">
                  <c:v>Home Decor</c:v>
                </c:pt>
              </c:strCache>
            </c:strRef>
          </c:cat>
          <c:val>
            <c:numRef>
              <c:f>data!$AA$2:$AA$7</c:f>
              <c:numCache>
                <c:formatCode>General</c:formatCode>
                <c:ptCount val="6"/>
                <c:pt idx="0">
                  <c:v>96737</c:v>
                </c:pt>
                <c:pt idx="1">
                  <c:v>85611</c:v>
                </c:pt>
                <c:pt idx="2">
                  <c:v>124528</c:v>
                </c:pt>
                <c:pt idx="3">
                  <c:v>108597</c:v>
                </c:pt>
                <c:pt idx="4">
                  <c:v>114528</c:v>
                </c:pt>
                <c:pt idx="5">
                  <c:v>100957</c:v>
                </c:pt>
              </c:numCache>
            </c:numRef>
          </c:val>
        </c:ser>
        <c:dLbls>
          <c:showLegendKey val="0"/>
          <c:showVal val="0"/>
          <c:showCatName val="0"/>
          <c:showSerName val="0"/>
          <c:showPercent val="0"/>
          <c:showBubbleSize val="0"/>
        </c:dLbls>
        <c:gapWidth val="150"/>
        <c:shape val="box"/>
        <c:axId val="200467200"/>
        <c:axId val="200468736"/>
        <c:axId val="0"/>
      </c:bar3DChart>
      <c:catAx>
        <c:axId val="200467200"/>
        <c:scaling>
          <c:orientation val="minMax"/>
        </c:scaling>
        <c:delete val="0"/>
        <c:axPos val="b"/>
        <c:majorTickMark val="out"/>
        <c:minorTickMark val="none"/>
        <c:tickLblPos val="nextTo"/>
        <c:crossAx val="200468736"/>
        <c:crosses val="autoZero"/>
        <c:auto val="1"/>
        <c:lblAlgn val="ctr"/>
        <c:lblOffset val="100"/>
        <c:noMultiLvlLbl val="0"/>
      </c:catAx>
      <c:valAx>
        <c:axId val="200468736"/>
        <c:scaling>
          <c:orientation val="minMax"/>
        </c:scaling>
        <c:delete val="0"/>
        <c:axPos val="l"/>
        <c:majorGridlines/>
        <c:numFmt formatCode="General" sourceLinked="1"/>
        <c:majorTickMark val="out"/>
        <c:minorTickMark val="none"/>
        <c:tickLblPos val="nextTo"/>
        <c:crossAx val="200467200"/>
        <c:crosses val="autoZero"/>
        <c:crossBetween val="between"/>
      </c:valAx>
    </c:plotArea>
    <c:legend>
      <c:legendPos val="r"/>
      <c:overlay val="0"/>
    </c:legend>
    <c:plotVisOnly val="1"/>
    <c:dispBlanksAs val="gap"/>
    <c:showDLblsOverMax val="0"/>
  </c:chart>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c:date1904 val="0"/>
  <c:lang val="en-IN"/>
  <c:roundedCorners val="0"/>
  <mc:AlternateContent xmlns:mc="http://schemas.openxmlformats.org/markup-compatibility/2006">
    <mc:Choice xmlns:c14="http://schemas.microsoft.com/office/drawing/2007/8/2/chart" Requires="c14">
      <c14:style val="102"/>
    </mc:Choice>
    <mc:Fallback>
      <c:style val="2"/>
    </mc:Fallback>
  </mc:AlternateContent>
  <c:pivotSource>
    <c:name>[internship -advanced excel 3.xlsx]pivot table and chart!PivotTable2</c:name>
    <c:fmtId val="0"/>
  </c:pivotSource>
  <c:chart>
    <c:title>
      <c:tx>
        <c:rich>
          <a:bodyPr/>
          <a:lstStyle/>
          <a:p>
            <a:pPr>
              <a:defRPr/>
            </a:pPr>
            <a:r>
              <a:rPr lang="en-US"/>
              <a:t>Number</a:t>
            </a:r>
            <a:r>
              <a:rPr lang="en-US" baseline="0"/>
              <a:t> of Units Sold</a:t>
            </a:r>
            <a:endParaRPr lang="en-US"/>
          </a:p>
        </c:rich>
      </c:tx>
      <c:overlay val="0"/>
    </c:title>
    <c:autoTitleDeleted val="0"/>
    <c:pivotFmts>
      <c:pivotFmt>
        <c:idx val="0"/>
        <c:marker>
          <c:symbol val="none"/>
        </c:marker>
      </c:pivotFmt>
    </c:pivotFmts>
    <c:plotArea>
      <c:layout/>
      <c:barChart>
        <c:barDir val="bar"/>
        <c:grouping val="clustered"/>
        <c:varyColors val="0"/>
        <c:ser>
          <c:idx val="0"/>
          <c:order val="0"/>
          <c:tx>
            <c:strRef>
              <c:f>'pivot table and chart'!$B$3</c:f>
              <c:strCache>
                <c:ptCount val="1"/>
                <c:pt idx="0">
                  <c:v>Total</c:v>
                </c:pt>
              </c:strCache>
            </c:strRef>
          </c:tx>
          <c:invertIfNegative val="0"/>
          <c:cat>
            <c:strRef>
              <c:f>'pivot table and chart'!$A$4:$A$10</c:f>
              <c:strCache>
                <c:ptCount val="6"/>
                <c:pt idx="0">
                  <c:v>Accessories</c:v>
                </c:pt>
                <c:pt idx="1">
                  <c:v>Books</c:v>
                </c:pt>
                <c:pt idx="2">
                  <c:v>Clothing</c:v>
                </c:pt>
                <c:pt idx="3">
                  <c:v>Electronics</c:v>
                </c:pt>
                <c:pt idx="4">
                  <c:v>Home Decor</c:v>
                </c:pt>
                <c:pt idx="5">
                  <c:v>Toys</c:v>
                </c:pt>
              </c:strCache>
            </c:strRef>
          </c:cat>
          <c:val>
            <c:numRef>
              <c:f>'pivot table and chart'!$B$4:$B$10</c:f>
              <c:numCache>
                <c:formatCode>General</c:formatCode>
                <c:ptCount val="6"/>
                <c:pt idx="0">
                  <c:v>436</c:v>
                </c:pt>
                <c:pt idx="1">
                  <c:v>349</c:v>
                </c:pt>
                <c:pt idx="2">
                  <c:v>415</c:v>
                </c:pt>
                <c:pt idx="3">
                  <c:v>498</c:v>
                </c:pt>
                <c:pt idx="4">
                  <c:v>384</c:v>
                </c:pt>
                <c:pt idx="5">
                  <c:v>379</c:v>
                </c:pt>
              </c:numCache>
            </c:numRef>
          </c:val>
        </c:ser>
        <c:dLbls>
          <c:showLegendKey val="0"/>
          <c:showVal val="0"/>
          <c:showCatName val="0"/>
          <c:showSerName val="0"/>
          <c:showPercent val="0"/>
          <c:showBubbleSize val="0"/>
        </c:dLbls>
        <c:gapWidth val="150"/>
        <c:axId val="207348480"/>
        <c:axId val="202304512"/>
      </c:barChart>
      <c:valAx>
        <c:axId val="202304512"/>
        <c:scaling>
          <c:orientation val="minMax"/>
        </c:scaling>
        <c:delete val="0"/>
        <c:axPos val="b"/>
        <c:majorGridlines/>
        <c:numFmt formatCode="General" sourceLinked="1"/>
        <c:majorTickMark val="out"/>
        <c:minorTickMark val="none"/>
        <c:tickLblPos val="nextTo"/>
        <c:crossAx val="207348480"/>
        <c:crosses val="autoZero"/>
        <c:crossBetween val="between"/>
      </c:valAx>
      <c:catAx>
        <c:axId val="207348480"/>
        <c:scaling>
          <c:orientation val="minMax"/>
        </c:scaling>
        <c:delete val="0"/>
        <c:axPos val="l"/>
        <c:majorTickMark val="out"/>
        <c:minorTickMark val="none"/>
        <c:tickLblPos val="nextTo"/>
        <c:crossAx val="202304512"/>
        <c:crosses val="autoZero"/>
        <c:auto val="1"/>
        <c:lblAlgn val="ctr"/>
        <c:lblOffset val="100"/>
        <c:noMultiLvlLbl val="0"/>
      </c:catAx>
    </c:plotArea>
    <c:legend>
      <c:legendPos val="r"/>
      <c:overlay val="0"/>
    </c:legend>
    <c:plotVisOnly val="1"/>
    <c:dispBlanksAs val="gap"/>
    <c:showDLblsOverMax val="0"/>
  </c:chart>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Lst>
</c:chartSpace>
</file>

<file path=xl/charts/chart4.xml><?xml version="1.0" encoding="utf-8"?>
<c:chartSpace xmlns:c="http://schemas.openxmlformats.org/drawingml/2006/chart" xmlns:a="http://schemas.openxmlformats.org/drawingml/2006/main" xmlns:r="http://schemas.openxmlformats.org/officeDocument/2006/relationships">
  <c:date1904 val="0"/>
  <c:lang val="en-IN"/>
  <c:roundedCorners val="0"/>
  <mc:AlternateContent xmlns:mc="http://schemas.openxmlformats.org/markup-compatibility/2006">
    <mc:Choice xmlns:c14="http://schemas.microsoft.com/office/drawing/2007/8/2/chart" Requires="c14">
      <c14:style val="102"/>
    </mc:Choice>
    <mc:Fallback>
      <c:style val="2"/>
    </mc:Fallback>
  </mc:AlternateContent>
  <c:pivotSource>
    <c:name>[internship -advanced excel 3.xlsx]pivot table and chart!PivotTable3</c:name>
    <c:fmtId val="1"/>
  </c:pivotSource>
  <c:chart>
    <c:title>
      <c:tx>
        <c:rich>
          <a:bodyPr/>
          <a:lstStyle/>
          <a:p>
            <a:pPr>
              <a:defRPr/>
            </a:pPr>
            <a:r>
              <a:rPr lang="en-US"/>
              <a:t>Sales</a:t>
            </a:r>
            <a:r>
              <a:rPr lang="en-US" baseline="0"/>
              <a:t> based on Region</a:t>
            </a:r>
            <a:endParaRPr lang="en-US"/>
          </a:p>
        </c:rich>
      </c:tx>
      <c:layout>
        <c:manualLayout>
          <c:xMode val="edge"/>
          <c:yMode val="edge"/>
          <c:x val="0.1930474145277295"/>
          <c:y val="0.17627027390806918"/>
        </c:manualLayout>
      </c:layout>
      <c:overlay val="0"/>
    </c:title>
    <c:autoTitleDeleted val="0"/>
    <c:pivotFmts>
      <c:pivotFmt>
        <c:idx val="0"/>
        <c:marker>
          <c:symbol val="none"/>
        </c:marker>
      </c:pivotFmt>
    </c:pivotFmts>
    <c:plotArea>
      <c:layout/>
      <c:ofPieChart>
        <c:ofPieType val="bar"/>
        <c:varyColors val="1"/>
        <c:ser>
          <c:idx val="0"/>
          <c:order val="0"/>
          <c:tx>
            <c:strRef>
              <c:f>'pivot table and chart'!$N$3</c:f>
              <c:strCache>
                <c:ptCount val="1"/>
                <c:pt idx="0">
                  <c:v>Total</c:v>
                </c:pt>
              </c:strCache>
            </c:strRef>
          </c:tx>
          <c:cat>
            <c:strRef>
              <c:f>'pivot table and chart'!$M$4:$M$8</c:f>
              <c:strCache>
                <c:ptCount val="4"/>
                <c:pt idx="0">
                  <c:v>East</c:v>
                </c:pt>
                <c:pt idx="1">
                  <c:v>North</c:v>
                </c:pt>
                <c:pt idx="2">
                  <c:v>South</c:v>
                </c:pt>
                <c:pt idx="3">
                  <c:v>West</c:v>
                </c:pt>
              </c:strCache>
            </c:strRef>
          </c:cat>
          <c:val>
            <c:numRef>
              <c:f>'pivot table and chart'!$N$4:$N$8</c:f>
              <c:numCache>
                <c:formatCode>0.00%</c:formatCode>
                <c:ptCount val="4"/>
                <c:pt idx="0">
                  <c:v>0.26400000000000001</c:v>
                </c:pt>
                <c:pt idx="1">
                  <c:v>0.26400000000000001</c:v>
                </c:pt>
                <c:pt idx="2">
                  <c:v>0.218</c:v>
                </c:pt>
                <c:pt idx="3">
                  <c:v>0.254</c:v>
                </c:pt>
              </c:numCache>
            </c:numRef>
          </c:val>
        </c:ser>
        <c:dLbls>
          <c:showLegendKey val="0"/>
          <c:showVal val="0"/>
          <c:showCatName val="0"/>
          <c:showSerName val="0"/>
          <c:showPercent val="0"/>
          <c:showBubbleSize val="0"/>
          <c:showLeaderLines val="1"/>
        </c:dLbls>
        <c:gapWidth val="100"/>
        <c:secondPieSize val="75"/>
        <c:serLines/>
      </c:ofPieChart>
    </c:plotArea>
    <c:legend>
      <c:legendPos val="r"/>
      <c:overlay val="0"/>
    </c:legend>
    <c:plotVisOnly val="1"/>
    <c:dispBlanksAs val="gap"/>
    <c:showDLblsOverMax val="0"/>
  </c:chart>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Lst>
</c:chartSpace>
</file>

<file path=xl/charts/chart5.xml><?xml version="1.0" encoding="utf-8"?>
<c:chartSpace xmlns:c="http://schemas.openxmlformats.org/drawingml/2006/chart" xmlns:a="http://schemas.openxmlformats.org/drawingml/2006/main" xmlns:r="http://schemas.openxmlformats.org/officeDocument/2006/relationships">
  <c:date1904 val="0"/>
  <c:lang val="en-IN"/>
  <c:roundedCorners val="0"/>
  <mc:AlternateContent xmlns:mc="http://schemas.openxmlformats.org/markup-compatibility/2006">
    <mc:Choice xmlns:c14="http://schemas.microsoft.com/office/drawing/2007/8/2/chart" Requires="c14">
      <c14:style val="102"/>
    </mc:Choice>
    <mc:Fallback>
      <c:style val="2"/>
    </mc:Fallback>
  </mc:AlternateContent>
  <c:pivotSource>
    <c:name>[internship -advanced excel 3.xlsx]pivot table and chart!PivotTable4</c:name>
    <c:fmtId val="0"/>
  </c:pivotSource>
  <c:chart>
    <c:autoTitleDeleted val="0"/>
    <c:pivotFmts>
      <c:pivotFmt>
        <c:idx val="0"/>
      </c:pivotFmt>
      <c:pivotFmt>
        <c:idx val="1"/>
      </c:pivotFmt>
      <c:pivotFmt>
        <c:idx val="2"/>
        <c:marker>
          <c:symbol val="none"/>
        </c:marker>
      </c:pivotFmt>
      <c:pivotFmt>
        <c:idx val="3"/>
        <c:marker>
          <c:symbol val="none"/>
        </c:marker>
      </c:pivotFmt>
      <c:pivotFmt>
        <c:idx val="4"/>
        <c:marker>
          <c:symbol val="none"/>
        </c:marker>
      </c:pivotFmt>
      <c:pivotFmt>
        <c:idx val="5"/>
        <c:marker>
          <c:symbol val="none"/>
        </c:marker>
      </c:pivotFmt>
      <c:pivotFmt>
        <c:idx val="6"/>
        <c:marker>
          <c:symbol val="none"/>
        </c:marker>
      </c:pivotFmt>
      <c:pivotFmt>
        <c:idx val="7"/>
        <c:marker>
          <c:symbol val="none"/>
        </c:marker>
      </c:pivotFmt>
      <c:pivotFmt>
        <c:idx val="8"/>
        <c:marker>
          <c:symbol val="none"/>
        </c:marker>
      </c:pivotFmt>
      <c:pivotFmt>
        <c:idx val="9"/>
        <c:marker>
          <c:symbol val="none"/>
        </c:marker>
      </c:pivotFmt>
      <c:pivotFmt>
        <c:idx val="10"/>
        <c:marker>
          <c:symbol val="none"/>
        </c:marker>
      </c:pivotFmt>
      <c:pivotFmt>
        <c:idx val="11"/>
        <c:marker>
          <c:symbol val="none"/>
        </c:marker>
      </c:pivotFmt>
      <c:pivotFmt>
        <c:idx val="12"/>
        <c:marker>
          <c:symbol val="none"/>
        </c:marker>
      </c:pivotFmt>
      <c:pivotFmt>
        <c:idx val="13"/>
        <c:marker>
          <c:symbol val="none"/>
        </c:marker>
      </c:pivotFmt>
      <c:pivotFmt>
        <c:idx val="14"/>
        <c:marker>
          <c:symbol val="none"/>
        </c:marker>
      </c:pivotFmt>
      <c:pivotFmt>
        <c:idx val="15"/>
        <c:marker>
          <c:symbol val="none"/>
        </c:marker>
      </c:pivotFmt>
      <c:pivotFmt>
        <c:idx val="16"/>
        <c:marker>
          <c:symbol val="none"/>
        </c:marker>
      </c:pivotFmt>
      <c:pivotFmt>
        <c:idx val="17"/>
        <c:marker>
          <c:symbol val="none"/>
        </c:marker>
      </c:pivotFmt>
      <c:pivotFmt>
        <c:idx val="18"/>
        <c:marker>
          <c:symbol val="none"/>
        </c:marker>
      </c:pivotFmt>
      <c:pivotFmt>
        <c:idx val="19"/>
        <c:marker>
          <c:symbol val="none"/>
        </c:marker>
      </c:pivotFmt>
      <c:pivotFmt>
        <c:idx val="20"/>
        <c:marker>
          <c:symbol val="none"/>
        </c:marker>
      </c:pivotFmt>
    </c:pivotFmts>
    <c:plotArea>
      <c:layout>
        <c:manualLayout>
          <c:layoutTarget val="inner"/>
          <c:xMode val="edge"/>
          <c:yMode val="edge"/>
          <c:x val="5.4359495385657437E-2"/>
          <c:y val="0.25769247594050743"/>
          <c:w val="0.75162270341207349"/>
          <c:h val="0.50943022747156608"/>
        </c:manualLayout>
      </c:layout>
      <c:barChart>
        <c:barDir val="col"/>
        <c:grouping val="clustered"/>
        <c:varyColors val="0"/>
        <c:ser>
          <c:idx val="0"/>
          <c:order val="0"/>
          <c:tx>
            <c:strRef>
              <c:f>'pivot table and chart'!$S$3:$S$4</c:f>
              <c:strCache>
                <c:ptCount val="1"/>
                <c:pt idx="0">
                  <c:v>Monday</c:v>
                </c:pt>
              </c:strCache>
            </c:strRef>
          </c:tx>
          <c:invertIfNegative val="0"/>
          <c:cat>
            <c:strRef>
              <c:f>'pivot table and chart'!$R$5:$R$11</c:f>
              <c:strCache>
                <c:ptCount val="6"/>
                <c:pt idx="0">
                  <c:v>Accessories</c:v>
                </c:pt>
                <c:pt idx="1">
                  <c:v>Books</c:v>
                </c:pt>
                <c:pt idx="2">
                  <c:v>Clothing</c:v>
                </c:pt>
                <c:pt idx="3">
                  <c:v>Electronics</c:v>
                </c:pt>
                <c:pt idx="4">
                  <c:v>Home Decor</c:v>
                </c:pt>
                <c:pt idx="5">
                  <c:v>Toys</c:v>
                </c:pt>
              </c:strCache>
            </c:strRef>
          </c:cat>
          <c:val>
            <c:numRef>
              <c:f>'pivot table and chart'!$S$5:$S$11</c:f>
              <c:numCache>
                <c:formatCode>General</c:formatCode>
                <c:ptCount val="6"/>
                <c:pt idx="0">
                  <c:v>13</c:v>
                </c:pt>
                <c:pt idx="1">
                  <c:v>9</c:v>
                </c:pt>
                <c:pt idx="2">
                  <c:v>10</c:v>
                </c:pt>
                <c:pt idx="3">
                  <c:v>15</c:v>
                </c:pt>
                <c:pt idx="4">
                  <c:v>12</c:v>
                </c:pt>
                <c:pt idx="5">
                  <c:v>10</c:v>
                </c:pt>
              </c:numCache>
            </c:numRef>
          </c:val>
        </c:ser>
        <c:ser>
          <c:idx val="1"/>
          <c:order val="1"/>
          <c:tx>
            <c:strRef>
              <c:f>'pivot table and chart'!$T$3:$T$4</c:f>
              <c:strCache>
                <c:ptCount val="1"/>
                <c:pt idx="0">
                  <c:v>Tuesday</c:v>
                </c:pt>
              </c:strCache>
            </c:strRef>
          </c:tx>
          <c:invertIfNegative val="0"/>
          <c:cat>
            <c:strRef>
              <c:f>'pivot table and chart'!$R$5:$R$11</c:f>
              <c:strCache>
                <c:ptCount val="6"/>
                <c:pt idx="0">
                  <c:v>Accessories</c:v>
                </c:pt>
                <c:pt idx="1">
                  <c:v>Books</c:v>
                </c:pt>
                <c:pt idx="2">
                  <c:v>Clothing</c:v>
                </c:pt>
                <c:pt idx="3">
                  <c:v>Electronics</c:v>
                </c:pt>
                <c:pt idx="4">
                  <c:v>Home Decor</c:v>
                </c:pt>
                <c:pt idx="5">
                  <c:v>Toys</c:v>
                </c:pt>
              </c:strCache>
            </c:strRef>
          </c:cat>
          <c:val>
            <c:numRef>
              <c:f>'pivot table and chart'!$T$5:$T$11</c:f>
              <c:numCache>
                <c:formatCode>General</c:formatCode>
                <c:ptCount val="6"/>
                <c:pt idx="0">
                  <c:v>11</c:v>
                </c:pt>
                <c:pt idx="1">
                  <c:v>11</c:v>
                </c:pt>
                <c:pt idx="2">
                  <c:v>13</c:v>
                </c:pt>
                <c:pt idx="3">
                  <c:v>11</c:v>
                </c:pt>
                <c:pt idx="4">
                  <c:v>13</c:v>
                </c:pt>
                <c:pt idx="5">
                  <c:v>11</c:v>
                </c:pt>
              </c:numCache>
            </c:numRef>
          </c:val>
        </c:ser>
        <c:ser>
          <c:idx val="2"/>
          <c:order val="2"/>
          <c:tx>
            <c:strRef>
              <c:f>'pivot table and chart'!$U$3:$U$4</c:f>
              <c:strCache>
                <c:ptCount val="1"/>
                <c:pt idx="0">
                  <c:v>Wednesday</c:v>
                </c:pt>
              </c:strCache>
            </c:strRef>
          </c:tx>
          <c:invertIfNegative val="0"/>
          <c:cat>
            <c:strRef>
              <c:f>'pivot table and chart'!$R$5:$R$11</c:f>
              <c:strCache>
                <c:ptCount val="6"/>
                <c:pt idx="0">
                  <c:v>Accessories</c:v>
                </c:pt>
                <c:pt idx="1">
                  <c:v>Books</c:v>
                </c:pt>
                <c:pt idx="2">
                  <c:v>Clothing</c:v>
                </c:pt>
                <c:pt idx="3">
                  <c:v>Electronics</c:v>
                </c:pt>
                <c:pt idx="4">
                  <c:v>Home Decor</c:v>
                </c:pt>
                <c:pt idx="5">
                  <c:v>Toys</c:v>
                </c:pt>
              </c:strCache>
            </c:strRef>
          </c:cat>
          <c:val>
            <c:numRef>
              <c:f>'pivot table and chart'!$U$5:$U$11</c:f>
              <c:numCache>
                <c:formatCode>General</c:formatCode>
                <c:ptCount val="6"/>
                <c:pt idx="0">
                  <c:v>13</c:v>
                </c:pt>
                <c:pt idx="1">
                  <c:v>12</c:v>
                </c:pt>
                <c:pt idx="2">
                  <c:v>17</c:v>
                </c:pt>
                <c:pt idx="3">
                  <c:v>13</c:v>
                </c:pt>
                <c:pt idx="4">
                  <c:v>10</c:v>
                </c:pt>
                <c:pt idx="5">
                  <c:v>7</c:v>
                </c:pt>
              </c:numCache>
            </c:numRef>
          </c:val>
        </c:ser>
        <c:ser>
          <c:idx val="3"/>
          <c:order val="3"/>
          <c:tx>
            <c:strRef>
              <c:f>'pivot table and chart'!$V$3:$V$4</c:f>
              <c:strCache>
                <c:ptCount val="1"/>
                <c:pt idx="0">
                  <c:v>Thursday</c:v>
                </c:pt>
              </c:strCache>
            </c:strRef>
          </c:tx>
          <c:invertIfNegative val="0"/>
          <c:cat>
            <c:strRef>
              <c:f>'pivot table and chart'!$R$5:$R$11</c:f>
              <c:strCache>
                <c:ptCount val="6"/>
                <c:pt idx="0">
                  <c:v>Accessories</c:v>
                </c:pt>
                <c:pt idx="1">
                  <c:v>Books</c:v>
                </c:pt>
                <c:pt idx="2">
                  <c:v>Clothing</c:v>
                </c:pt>
                <c:pt idx="3">
                  <c:v>Electronics</c:v>
                </c:pt>
                <c:pt idx="4">
                  <c:v>Home Decor</c:v>
                </c:pt>
                <c:pt idx="5">
                  <c:v>Toys</c:v>
                </c:pt>
              </c:strCache>
            </c:strRef>
          </c:cat>
          <c:val>
            <c:numRef>
              <c:f>'pivot table and chart'!$V$5:$V$11</c:f>
              <c:numCache>
                <c:formatCode>General</c:formatCode>
                <c:ptCount val="6"/>
                <c:pt idx="0">
                  <c:v>9</c:v>
                </c:pt>
                <c:pt idx="1">
                  <c:v>15</c:v>
                </c:pt>
                <c:pt idx="2">
                  <c:v>12</c:v>
                </c:pt>
                <c:pt idx="3">
                  <c:v>19</c:v>
                </c:pt>
                <c:pt idx="4">
                  <c:v>8</c:v>
                </c:pt>
                <c:pt idx="5">
                  <c:v>13</c:v>
                </c:pt>
              </c:numCache>
            </c:numRef>
          </c:val>
        </c:ser>
        <c:ser>
          <c:idx val="4"/>
          <c:order val="4"/>
          <c:tx>
            <c:strRef>
              <c:f>'pivot table and chart'!$W$3:$W$4</c:f>
              <c:strCache>
                <c:ptCount val="1"/>
                <c:pt idx="0">
                  <c:v>Friday</c:v>
                </c:pt>
              </c:strCache>
            </c:strRef>
          </c:tx>
          <c:invertIfNegative val="0"/>
          <c:cat>
            <c:strRef>
              <c:f>'pivot table and chart'!$R$5:$R$11</c:f>
              <c:strCache>
                <c:ptCount val="6"/>
                <c:pt idx="0">
                  <c:v>Accessories</c:v>
                </c:pt>
                <c:pt idx="1">
                  <c:v>Books</c:v>
                </c:pt>
                <c:pt idx="2">
                  <c:v>Clothing</c:v>
                </c:pt>
                <c:pt idx="3">
                  <c:v>Electronics</c:v>
                </c:pt>
                <c:pt idx="4">
                  <c:v>Home Decor</c:v>
                </c:pt>
                <c:pt idx="5">
                  <c:v>Toys</c:v>
                </c:pt>
              </c:strCache>
            </c:strRef>
          </c:cat>
          <c:val>
            <c:numRef>
              <c:f>'pivot table and chart'!$W$5:$W$11</c:f>
              <c:numCache>
                <c:formatCode>General</c:formatCode>
                <c:ptCount val="6"/>
                <c:pt idx="0">
                  <c:v>14</c:v>
                </c:pt>
                <c:pt idx="1">
                  <c:v>9</c:v>
                </c:pt>
                <c:pt idx="2">
                  <c:v>10</c:v>
                </c:pt>
                <c:pt idx="3">
                  <c:v>13</c:v>
                </c:pt>
                <c:pt idx="4">
                  <c:v>9</c:v>
                </c:pt>
                <c:pt idx="5">
                  <c:v>16</c:v>
                </c:pt>
              </c:numCache>
            </c:numRef>
          </c:val>
        </c:ser>
        <c:ser>
          <c:idx val="5"/>
          <c:order val="5"/>
          <c:tx>
            <c:strRef>
              <c:f>'pivot table and chart'!$X$3:$X$4</c:f>
              <c:strCache>
                <c:ptCount val="1"/>
                <c:pt idx="0">
                  <c:v>Saturday</c:v>
                </c:pt>
              </c:strCache>
            </c:strRef>
          </c:tx>
          <c:invertIfNegative val="0"/>
          <c:cat>
            <c:strRef>
              <c:f>'pivot table and chart'!$R$5:$R$11</c:f>
              <c:strCache>
                <c:ptCount val="6"/>
                <c:pt idx="0">
                  <c:v>Accessories</c:v>
                </c:pt>
                <c:pt idx="1">
                  <c:v>Books</c:v>
                </c:pt>
                <c:pt idx="2">
                  <c:v>Clothing</c:v>
                </c:pt>
                <c:pt idx="3">
                  <c:v>Electronics</c:v>
                </c:pt>
                <c:pt idx="4">
                  <c:v>Home Decor</c:v>
                </c:pt>
                <c:pt idx="5">
                  <c:v>Toys</c:v>
                </c:pt>
              </c:strCache>
            </c:strRef>
          </c:cat>
          <c:val>
            <c:numRef>
              <c:f>'pivot table and chart'!$X$5:$X$11</c:f>
              <c:numCache>
                <c:formatCode>General</c:formatCode>
                <c:ptCount val="6"/>
                <c:pt idx="0">
                  <c:v>18</c:v>
                </c:pt>
                <c:pt idx="1">
                  <c:v>10</c:v>
                </c:pt>
                <c:pt idx="2">
                  <c:v>15</c:v>
                </c:pt>
                <c:pt idx="3">
                  <c:v>16</c:v>
                </c:pt>
                <c:pt idx="4">
                  <c:v>12</c:v>
                </c:pt>
                <c:pt idx="5">
                  <c:v>10</c:v>
                </c:pt>
              </c:numCache>
            </c:numRef>
          </c:val>
        </c:ser>
        <c:ser>
          <c:idx val="6"/>
          <c:order val="6"/>
          <c:tx>
            <c:strRef>
              <c:f>'pivot table and chart'!$Y$3:$Y$4</c:f>
              <c:strCache>
                <c:ptCount val="1"/>
                <c:pt idx="0">
                  <c:v>Sunday</c:v>
                </c:pt>
              </c:strCache>
            </c:strRef>
          </c:tx>
          <c:invertIfNegative val="0"/>
          <c:cat>
            <c:strRef>
              <c:f>'pivot table and chart'!$R$5:$R$11</c:f>
              <c:strCache>
                <c:ptCount val="6"/>
                <c:pt idx="0">
                  <c:v>Accessories</c:v>
                </c:pt>
                <c:pt idx="1">
                  <c:v>Books</c:v>
                </c:pt>
                <c:pt idx="2">
                  <c:v>Clothing</c:v>
                </c:pt>
                <c:pt idx="3">
                  <c:v>Electronics</c:v>
                </c:pt>
                <c:pt idx="4">
                  <c:v>Home Decor</c:v>
                </c:pt>
                <c:pt idx="5">
                  <c:v>Toys</c:v>
                </c:pt>
              </c:strCache>
            </c:strRef>
          </c:cat>
          <c:val>
            <c:numRef>
              <c:f>'pivot table and chart'!$Y$5:$Y$11</c:f>
              <c:numCache>
                <c:formatCode>General</c:formatCode>
                <c:ptCount val="6"/>
                <c:pt idx="0">
                  <c:v>8</c:v>
                </c:pt>
                <c:pt idx="1">
                  <c:v>10</c:v>
                </c:pt>
                <c:pt idx="2">
                  <c:v>9</c:v>
                </c:pt>
                <c:pt idx="3">
                  <c:v>17</c:v>
                </c:pt>
                <c:pt idx="4">
                  <c:v>10</c:v>
                </c:pt>
                <c:pt idx="5">
                  <c:v>7</c:v>
                </c:pt>
              </c:numCache>
            </c:numRef>
          </c:val>
        </c:ser>
        <c:dLbls>
          <c:showLegendKey val="0"/>
          <c:showVal val="0"/>
          <c:showCatName val="0"/>
          <c:showSerName val="0"/>
          <c:showPercent val="0"/>
          <c:showBubbleSize val="0"/>
        </c:dLbls>
        <c:gapWidth val="150"/>
        <c:axId val="208226560"/>
        <c:axId val="208244736"/>
      </c:barChart>
      <c:catAx>
        <c:axId val="208226560"/>
        <c:scaling>
          <c:orientation val="minMax"/>
        </c:scaling>
        <c:delete val="0"/>
        <c:axPos val="b"/>
        <c:majorTickMark val="out"/>
        <c:minorTickMark val="none"/>
        <c:tickLblPos val="nextTo"/>
        <c:crossAx val="208244736"/>
        <c:crosses val="autoZero"/>
        <c:auto val="1"/>
        <c:lblAlgn val="ctr"/>
        <c:lblOffset val="100"/>
        <c:noMultiLvlLbl val="0"/>
      </c:catAx>
      <c:valAx>
        <c:axId val="208244736"/>
        <c:scaling>
          <c:orientation val="minMax"/>
        </c:scaling>
        <c:delete val="0"/>
        <c:axPos val="l"/>
        <c:majorGridlines/>
        <c:numFmt formatCode="General" sourceLinked="1"/>
        <c:majorTickMark val="out"/>
        <c:minorTickMark val="none"/>
        <c:tickLblPos val="nextTo"/>
        <c:crossAx val="208226560"/>
        <c:crosses val="autoZero"/>
        <c:crossBetween val="between"/>
      </c:valAx>
    </c:plotArea>
    <c:legend>
      <c:legendPos val="r"/>
      <c:overlay val="0"/>
    </c:legend>
    <c:plotVisOnly val="1"/>
    <c:dispBlanksAs val="gap"/>
    <c:showDLblsOverMax val="0"/>
  </c:chart>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Lst>
</c:chartSpace>
</file>

<file path=xl/charts/chart6.xml><?xml version="1.0" encoding="utf-8"?>
<c:chartSpace xmlns:c="http://schemas.openxmlformats.org/drawingml/2006/chart" xmlns:a="http://schemas.openxmlformats.org/drawingml/2006/main" xmlns:r="http://schemas.openxmlformats.org/officeDocument/2006/relationships">
  <c:date1904 val="0"/>
  <c:lang val="en-IN"/>
  <c:roundedCorners val="0"/>
  <mc:AlternateContent xmlns:mc="http://schemas.openxmlformats.org/markup-compatibility/2006">
    <mc:Choice xmlns:c14="http://schemas.microsoft.com/office/drawing/2007/8/2/chart" Requires="c14">
      <c14:style val="106"/>
    </mc:Choice>
    <mc:Fallback>
      <c:style val="6"/>
    </mc:Fallback>
  </mc:AlternateContent>
  <c:pivotSource>
    <c:name>[internship -advanced excel 3.xlsx]pivot table and chart!PivotTable5</c:name>
    <c:fmtId val="0"/>
  </c:pivotSource>
  <c:chart>
    <c:title>
      <c:layout/>
      <c:overlay val="0"/>
    </c:title>
    <c:autoTitleDeleted val="0"/>
    <c:pivotFmts>
      <c:pivotFmt>
        <c:idx val="0"/>
        <c:marker>
          <c:symbol val="none"/>
        </c:marker>
        <c:dLbl>
          <c:idx val="0"/>
          <c:layout/>
          <c:spPr/>
          <c:txPr>
            <a:bodyPr/>
            <a:lstStyle/>
            <a:p>
              <a:pPr>
                <a:defRPr/>
              </a:pPr>
              <a:endParaRPr lang="en-US"/>
            </a:p>
          </c:txPr>
          <c:showLegendKey val="0"/>
          <c:showVal val="1"/>
          <c:showCatName val="1"/>
          <c:showSerName val="0"/>
          <c:showPercent val="0"/>
          <c:showBubbleSize val="0"/>
        </c:dLbl>
      </c:pivotFmt>
    </c:pivotFmts>
    <c:plotArea>
      <c:layout/>
      <c:pieChart>
        <c:varyColors val="1"/>
        <c:ser>
          <c:idx val="0"/>
          <c:order val="0"/>
          <c:tx>
            <c:strRef>
              <c:f>'pivot table and chart'!$AC$3</c:f>
              <c:strCache>
                <c:ptCount val="1"/>
                <c:pt idx="0">
                  <c:v>Total</c:v>
                </c:pt>
              </c:strCache>
            </c:strRef>
          </c:tx>
          <c:dLbls>
            <c:spPr/>
            <c:txPr>
              <a:bodyPr/>
              <a:lstStyle/>
              <a:p>
                <a:pPr>
                  <a:defRPr/>
                </a:pPr>
                <a:endParaRPr lang="en-US"/>
              </a:p>
            </c:txPr>
            <c:showLegendKey val="0"/>
            <c:showVal val="1"/>
            <c:showCatName val="1"/>
            <c:showSerName val="0"/>
            <c:showPercent val="0"/>
            <c:showBubbleSize val="0"/>
            <c:showLeaderLines val="1"/>
          </c:dLbls>
          <c:cat>
            <c:strRef>
              <c:f>'pivot table and chart'!$AB$4:$AB$8</c:f>
              <c:strCache>
                <c:ptCount val="4"/>
                <c:pt idx="0">
                  <c:v>Cash on Delivery</c:v>
                </c:pt>
                <c:pt idx="1">
                  <c:v>Credit Card</c:v>
                </c:pt>
                <c:pt idx="2">
                  <c:v>PayPal</c:v>
                </c:pt>
                <c:pt idx="3">
                  <c:v>UPI</c:v>
                </c:pt>
              </c:strCache>
            </c:strRef>
          </c:cat>
          <c:val>
            <c:numRef>
              <c:f>'pivot table and chart'!$AC$4:$AC$8</c:f>
              <c:numCache>
                <c:formatCode>0.00%</c:formatCode>
                <c:ptCount val="4"/>
                <c:pt idx="0">
                  <c:v>0.28346456692913385</c:v>
                </c:pt>
                <c:pt idx="1">
                  <c:v>0.28346456692913385</c:v>
                </c:pt>
                <c:pt idx="2">
                  <c:v>0.22047244094488189</c:v>
                </c:pt>
                <c:pt idx="3">
                  <c:v>0.2125984251968504</c:v>
                </c:pt>
              </c:numCache>
            </c:numRef>
          </c:val>
        </c:ser>
        <c:dLbls>
          <c:showLegendKey val="0"/>
          <c:showVal val="0"/>
          <c:showCatName val="0"/>
          <c:showSerName val="0"/>
          <c:showPercent val="0"/>
          <c:showBubbleSize val="0"/>
          <c:showLeaderLines val="1"/>
        </c:dLbls>
        <c:firstSliceAng val="0"/>
      </c:pieChart>
    </c:plotArea>
    <c:plotVisOnly val="1"/>
    <c:dispBlanksAs val="gap"/>
    <c:showDLblsOverMax val="0"/>
  </c:chart>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dropZonesVisible val="1"/>
      </c14:pivotOptions>
    </c:ext>
  </c:extLst>
</c:chartSpace>
</file>

<file path=xl/charts/chart7.xml><?xml version="1.0" encoding="utf-8"?>
<c:chartSpace xmlns:c="http://schemas.openxmlformats.org/drawingml/2006/chart" xmlns:a="http://schemas.openxmlformats.org/drawingml/2006/main" xmlns:r="http://schemas.openxmlformats.org/officeDocument/2006/relationships">
  <c:date1904 val="0"/>
  <c:lang val="en-IN"/>
  <c:roundedCorners val="0"/>
  <mc:AlternateContent xmlns:mc="http://schemas.openxmlformats.org/markup-compatibility/2006">
    <mc:Choice xmlns:c14="http://schemas.microsoft.com/office/drawing/2007/8/2/chart" Requires="c14">
      <c14:style val="102"/>
    </mc:Choice>
    <mc:Fallback>
      <c:style val="2"/>
    </mc:Fallback>
  </mc:AlternateContent>
  <c:pivotSource>
    <c:name>[internship -advanced excel 3.xlsx]pivot table and chart!PivotTable6</c:name>
    <c:fmtId val="0"/>
  </c:pivotSource>
  <c:chart>
    <c:title>
      <c:layout/>
      <c:overlay val="0"/>
    </c:title>
    <c:autoTitleDeleted val="0"/>
    <c:pivotFmts>
      <c:pivotFmt>
        <c:idx val="0"/>
        <c:marker>
          <c:symbol val="none"/>
        </c:marker>
      </c:pivotFmt>
    </c:pivotFmts>
    <c:plotArea>
      <c:layout>
        <c:manualLayout>
          <c:layoutTarget val="inner"/>
          <c:xMode val="edge"/>
          <c:yMode val="edge"/>
          <c:x val="9.97661854768154E-2"/>
          <c:y val="0.28637540099154274"/>
          <c:w val="0.77226268591426073"/>
          <c:h val="0.4201855497229513"/>
        </c:manualLayout>
      </c:layout>
      <c:barChart>
        <c:barDir val="col"/>
        <c:grouping val="clustered"/>
        <c:varyColors val="0"/>
        <c:ser>
          <c:idx val="0"/>
          <c:order val="0"/>
          <c:tx>
            <c:strRef>
              <c:f>'pivot table and chart'!$AH$4</c:f>
              <c:strCache>
                <c:ptCount val="1"/>
                <c:pt idx="0">
                  <c:v>Total</c:v>
                </c:pt>
              </c:strCache>
            </c:strRef>
          </c:tx>
          <c:invertIfNegative val="0"/>
          <c:cat>
            <c:multiLvlStrRef>
              <c:f>'pivot table and chart'!$AG$5:$AG$11</c:f>
              <c:multiLvlStrCache>
                <c:ptCount val="5"/>
                <c:lvl>
                  <c:pt idx="0">
                    <c:v>Action Figure</c:v>
                  </c:pt>
                  <c:pt idx="1">
                    <c:v>Board Game</c:v>
                  </c:pt>
                  <c:pt idx="2">
                    <c:v>Doll</c:v>
                  </c:pt>
                  <c:pt idx="3">
                    <c:v>Lego Set</c:v>
                  </c:pt>
                  <c:pt idx="4">
                    <c:v>Puzzle</c:v>
                  </c:pt>
                </c:lvl>
                <c:lvl>
                  <c:pt idx="0">
                    <c:v>Toys</c:v>
                  </c:pt>
                </c:lvl>
              </c:multiLvlStrCache>
            </c:multiLvlStrRef>
          </c:cat>
          <c:val>
            <c:numRef>
              <c:f>'pivot table and chart'!$AH$5:$AH$11</c:f>
              <c:numCache>
                <c:formatCode>General</c:formatCode>
                <c:ptCount val="5"/>
                <c:pt idx="0">
                  <c:v>13</c:v>
                </c:pt>
                <c:pt idx="1">
                  <c:v>13</c:v>
                </c:pt>
                <c:pt idx="2">
                  <c:v>15</c:v>
                </c:pt>
                <c:pt idx="3">
                  <c:v>20</c:v>
                </c:pt>
                <c:pt idx="4">
                  <c:v>13</c:v>
                </c:pt>
              </c:numCache>
            </c:numRef>
          </c:val>
        </c:ser>
        <c:dLbls>
          <c:showLegendKey val="0"/>
          <c:showVal val="0"/>
          <c:showCatName val="0"/>
          <c:showSerName val="0"/>
          <c:showPercent val="0"/>
          <c:showBubbleSize val="0"/>
        </c:dLbls>
        <c:gapWidth val="150"/>
        <c:axId val="208300288"/>
        <c:axId val="208310272"/>
      </c:barChart>
      <c:catAx>
        <c:axId val="208300288"/>
        <c:scaling>
          <c:orientation val="minMax"/>
        </c:scaling>
        <c:delete val="0"/>
        <c:axPos val="b"/>
        <c:majorTickMark val="out"/>
        <c:minorTickMark val="none"/>
        <c:tickLblPos val="nextTo"/>
        <c:crossAx val="208310272"/>
        <c:crosses val="autoZero"/>
        <c:auto val="1"/>
        <c:lblAlgn val="ctr"/>
        <c:lblOffset val="100"/>
        <c:noMultiLvlLbl val="0"/>
      </c:catAx>
      <c:valAx>
        <c:axId val="208310272"/>
        <c:scaling>
          <c:orientation val="minMax"/>
        </c:scaling>
        <c:delete val="0"/>
        <c:axPos val="l"/>
        <c:majorGridlines/>
        <c:numFmt formatCode="General" sourceLinked="1"/>
        <c:majorTickMark val="out"/>
        <c:minorTickMark val="none"/>
        <c:tickLblPos val="nextTo"/>
        <c:crossAx val="208300288"/>
        <c:crosses val="autoZero"/>
        <c:crossBetween val="between"/>
      </c:valAx>
    </c:plotArea>
    <c:legend>
      <c:legendPos val="r"/>
      <c:layout/>
      <c:overlay val="0"/>
    </c:legend>
    <c:plotVisOnly val="1"/>
    <c:dispBlanksAs val="gap"/>
    <c:showDLblsOverMax val="0"/>
  </c:chart>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Lst>
</c:chartSpace>
</file>

<file path=xl/charts/chart8.xml><?xml version="1.0" encoding="utf-8"?>
<c:chartSpace xmlns:c="http://schemas.openxmlformats.org/drawingml/2006/chart" xmlns:a="http://schemas.openxmlformats.org/drawingml/2006/main" xmlns:r="http://schemas.openxmlformats.org/officeDocument/2006/relationships">
  <c:date1904 val="0"/>
  <c:lang val="en-IN"/>
  <c:roundedCorners val="0"/>
  <mc:AlternateContent xmlns:mc="http://schemas.openxmlformats.org/markup-compatibility/2006">
    <mc:Choice xmlns:c14="http://schemas.microsoft.com/office/drawing/2007/8/2/chart" Requires="c14">
      <c14:style val="102"/>
    </mc:Choice>
    <mc:Fallback>
      <c:style val="2"/>
    </mc:Fallback>
  </mc:AlternateContent>
  <c:pivotSource>
    <c:name>[internship -advanced excel 3.xlsx]pivot table and chart!PivotTable4</c:name>
    <c:fmtId val="4"/>
  </c:pivotSource>
  <c:chart>
    <c:autoTitleDeleted val="0"/>
    <c:pivotFmts>
      <c:pivotFmt>
        <c:idx val="0"/>
      </c:pivotFmt>
      <c:pivotFmt>
        <c:idx val="1"/>
      </c:pivotFmt>
      <c:pivotFmt>
        <c:idx val="2"/>
        <c:marker>
          <c:symbol val="none"/>
        </c:marker>
      </c:pivotFmt>
      <c:pivotFmt>
        <c:idx val="3"/>
        <c:marker>
          <c:symbol val="none"/>
        </c:marker>
      </c:pivotFmt>
      <c:pivotFmt>
        <c:idx val="4"/>
        <c:marker>
          <c:symbol val="none"/>
        </c:marker>
      </c:pivotFmt>
      <c:pivotFmt>
        <c:idx val="5"/>
        <c:marker>
          <c:symbol val="none"/>
        </c:marker>
      </c:pivotFmt>
      <c:pivotFmt>
        <c:idx val="6"/>
        <c:marker>
          <c:symbol val="none"/>
        </c:marker>
      </c:pivotFmt>
      <c:pivotFmt>
        <c:idx val="7"/>
        <c:marker>
          <c:symbol val="none"/>
        </c:marker>
      </c:pivotFmt>
      <c:pivotFmt>
        <c:idx val="8"/>
        <c:marker>
          <c:symbol val="none"/>
        </c:marker>
      </c:pivotFmt>
      <c:pivotFmt>
        <c:idx val="9"/>
        <c:marker>
          <c:symbol val="none"/>
        </c:marker>
      </c:pivotFmt>
      <c:pivotFmt>
        <c:idx val="10"/>
        <c:marker>
          <c:symbol val="none"/>
        </c:marker>
      </c:pivotFmt>
      <c:pivotFmt>
        <c:idx val="11"/>
        <c:marker>
          <c:symbol val="none"/>
        </c:marker>
      </c:pivotFmt>
      <c:pivotFmt>
        <c:idx val="12"/>
        <c:marker>
          <c:symbol val="none"/>
        </c:marker>
      </c:pivotFmt>
      <c:pivotFmt>
        <c:idx val="13"/>
        <c:marker>
          <c:symbol val="none"/>
        </c:marker>
      </c:pivotFmt>
      <c:pivotFmt>
        <c:idx val="14"/>
        <c:marker>
          <c:symbol val="none"/>
        </c:marker>
      </c:pivotFmt>
      <c:pivotFmt>
        <c:idx val="15"/>
        <c:marker>
          <c:symbol val="none"/>
        </c:marker>
      </c:pivotFmt>
      <c:pivotFmt>
        <c:idx val="16"/>
        <c:marker>
          <c:symbol val="none"/>
        </c:marker>
      </c:pivotFmt>
      <c:pivotFmt>
        <c:idx val="17"/>
        <c:marker>
          <c:symbol val="none"/>
        </c:marker>
      </c:pivotFmt>
      <c:pivotFmt>
        <c:idx val="18"/>
        <c:marker>
          <c:symbol val="none"/>
        </c:marker>
      </c:pivotFmt>
      <c:pivotFmt>
        <c:idx val="19"/>
        <c:marker>
          <c:symbol val="none"/>
        </c:marker>
      </c:pivotFmt>
      <c:pivotFmt>
        <c:idx val="20"/>
        <c:marker>
          <c:symbol val="none"/>
        </c:marker>
      </c:pivotFmt>
      <c:pivotFmt>
        <c:idx val="21"/>
        <c:marker>
          <c:symbol val="none"/>
        </c:marker>
      </c:pivotFmt>
      <c:pivotFmt>
        <c:idx val="22"/>
        <c:marker>
          <c:symbol val="none"/>
        </c:marker>
      </c:pivotFmt>
      <c:pivotFmt>
        <c:idx val="23"/>
        <c:marker>
          <c:symbol val="none"/>
        </c:marker>
      </c:pivotFmt>
      <c:pivotFmt>
        <c:idx val="24"/>
        <c:marker>
          <c:symbol val="none"/>
        </c:marker>
      </c:pivotFmt>
      <c:pivotFmt>
        <c:idx val="25"/>
        <c:marker>
          <c:symbol val="none"/>
        </c:marker>
      </c:pivotFmt>
      <c:pivotFmt>
        <c:idx val="26"/>
        <c:marker>
          <c:symbol val="none"/>
        </c:marker>
      </c:pivotFmt>
      <c:pivotFmt>
        <c:idx val="27"/>
        <c:marker>
          <c:symbol val="none"/>
        </c:marker>
      </c:pivotFmt>
      <c:pivotFmt>
        <c:idx val="28"/>
        <c:marker>
          <c:symbol val="none"/>
        </c:marker>
      </c:pivotFmt>
      <c:pivotFmt>
        <c:idx val="29"/>
        <c:marker>
          <c:symbol val="none"/>
        </c:marker>
      </c:pivotFmt>
      <c:pivotFmt>
        <c:idx val="30"/>
        <c:marker>
          <c:symbol val="none"/>
        </c:marker>
      </c:pivotFmt>
      <c:pivotFmt>
        <c:idx val="31"/>
        <c:marker>
          <c:symbol val="none"/>
        </c:marker>
      </c:pivotFmt>
      <c:pivotFmt>
        <c:idx val="32"/>
        <c:marker>
          <c:symbol val="none"/>
        </c:marker>
      </c:pivotFmt>
      <c:pivotFmt>
        <c:idx val="33"/>
        <c:marker>
          <c:symbol val="none"/>
        </c:marker>
      </c:pivotFmt>
      <c:pivotFmt>
        <c:idx val="34"/>
        <c:marker>
          <c:symbol val="none"/>
        </c:marker>
      </c:pivotFmt>
    </c:pivotFmts>
    <c:plotArea>
      <c:layout>
        <c:manualLayout>
          <c:layoutTarget val="inner"/>
          <c:xMode val="edge"/>
          <c:yMode val="edge"/>
          <c:x val="5.4359495385657437E-2"/>
          <c:y val="0.25769247594050743"/>
          <c:w val="0.75162270341207349"/>
          <c:h val="0.50943022747156608"/>
        </c:manualLayout>
      </c:layout>
      <c:barChart>
        <c:barDir val="col"/>
        <c:grouping val="clustered"/>
        <c:varyColors val="0"/>
        <c:ser>
          <c:idx val="0"/>
          <c:order val="0"/>
          <c:tx>
            <c:strRef>
              <c:f>'pivot table and chart'!$S$3:$S$4</c:f>
              <c:strCache>
                <c:ptCount val="1"/>
                <c:pt idx="0">
                  <c:v>Monday</c:v>
                </c:pt>
              </c:strCache>
            </c:strRef>
          </c:tx>
          <c:invertIfNegative val="0"/>
          <c:cat>
            <c:strRef>
              <c:f>'pivot table and chart'!$R$5:$R$11</c:f>
              <c:strCache>
                <c:ptCount val="6"/>
                <c:pt idx="0">
                  <c:v>Accessories</c:v>
                </c:pt>
                <c:pt idx="1">
                  <c:v>Books</c:v>
                </c:pt>
                <c:pt idx="2">
                  <c:v>Clothing</c:v>
                </c:pt>
                <c:pt idx="3">
                  <c:v>Electronics</c:v>
                </c:pt>
                <c:pt idx="4">
                  <c:v>Home Decor</c:v>
                </c:pt>
                <c:pt idx="5">
                  <c:v>Toys</c:v>
                </c:pt>
              </c:strCache>
            </c:strRef>
          </c:cat>
          <c:val>
            <c:numRef>
              <c:f>'pivot table and chart'!$S$5:$S$11</c:f>
              <c:numCache>
                <c:formatCode>General</c:formatCode>
                <c:ptCount val="6"/>
                <c:pt idx="0">
                  <c:v>13</c:v>
                </c:pt>
                <c:pt idx="1">
                  <c:v>9</c:v>
                </c:pt>
                <c:pt idx="2">
                  <c:v>10</c:v>
                </c:pt>
                <c:pt idx="3">
                  <c:v>15</c:v>
                </c:pt>
                <c:pt idx="4">
                  <c:v>12</c:v>
                </c:pt>
                <c:pt idx="5">
                  <c:v>10</c:v>
                </c:pt>
              </c:numCache>
            </c:numRef>
          </c:val>
        </c:ser>
        <c:ser>
          <c:idx val="1"/>
          <c:order val="1"/>
          <c:tx>
            <c:strRef>
              <c:f>'pivot table and chart'!$T$3:$T$4</c:f>
              <c:strCache>
                <c:ptCount val="1"/>
                <c:pt idx="0">
                  <c:v>Tuesday</c:v>
                </c:pt>
              </c:strCache>
            </c:strRef>
          </c:tx>
          <c:invertIfNegative val="0"/>
          <c:cat>
            <c:strRef>
              <c:f>'pivot table and chart'!$R$5:$R$11</c:f>
              <c:strCache>
                <c:ptCount val="6"/>
                <c:pt idx="0">
                  <c:v>Accessories</c:v>
                </c:pt>
                <c:pt idx="1">
                  <c:v>Books</c:v>
                </c:pt>
                <c:pt idx="2">
                  <c:v>Clothing</c:v>
                </c:pt>
                <c:pt idx="3">
                  <c:v>Electronics</c:v>
                </c:pt>
                <c:pt idx="4">
                  <c:v>Home Decor</c:v>
                </c:pt>
                <c:pt idx="5">
                  <c:v>Toys</c:v>
                </c:pt>
              </c:strCache>
            </c:strRef>
          </c:cat>
          <c:val>
            <c:numRef>
              <c:f>'pivot table and chart'!$T$5:$T$11</c:f>
              <c:numCache>
                <c:formatCode>General</c:formatCode>
                <c:ptCount val="6"/>
                <c:pt idx="0">
                  <c:v>11</c:v>
                </c:pt>
                <c:pt idx="1">
                  <c:v>11</c:v>
                </c:pt>
                <c:pt idx="2">
                  <c:v>13</c:v>
                </c:pt>
                <c:pt idx="3">
                  <c:v>11</c:v>
                </c:pt>
                <c:pt idx="4">
                  <c:v>13</c:v>
                </c:pt>
                <c:pt idx="5">
                  <c:v>11</c:v>
                </c:pt>
              </c:numCache>
            </c:numRef>
          </c:val>
        </c:ser>
        <c:ser>
          <c:idx val="2"/>
          <c:order val="2"/>
          <c:tx>
            <c:strRef>
              <c:f>'pivot table and chart'!$U$3:$U$4</c:f>
              <c:strCache>
                <c:ptCount val="1"/>
                <c:pt idx="0">
                  <c:v>Wednesday</c:v>
                </c:pt>
              </c:strCache>
            </c:strRef>
          </c:tx>
          <c:invertIfNegative val="0"/>
          <c:cat>
            <c:strRef>
              <c:f>'pivot table and chart'!$R$5:$R$11</c:f>
              <c:strCache>
                <c:ptCount val="6"/>
                <c:pt idx="0">
                  <c:v>Accessories</c:v>
                </c:pt>
                <c:pt idx="1">
                  <c:v>Books</c:v>
                </c:pt>
                <c:pt idx="2">
                  <c:v>Clothing</c:v>
                </c:pt>
                <c:pt idx="3">
                  <c:v>Electronics</c:v>
                </c:pt>
                <c:pt idx="4">
                  <c:v>Home Decor</c:v>
                </c:pt>
                <c:pt idx="5">
                  <c:v>Toys</c:v>
                </c:pt>
              </c:strCache>
            </c:strRef>
          </c:cat>
          <c:val>
            <c:numRef>
              <c:f>'pivot table and chart'!$U$5:$U$11</c:f>
              <c:numCache>
                <c:formatCode>General</c:formatCode>
                <c:ptCount val="6"/>
                <c:pt idx="0">
                  <c:v>13</c:v>
                </c:pt>
                <c:pt idx="1">
                  <c:v>12</c:v>
                </c:pt>
                <c:pt idx="2">
                  <c:v>17</c:v>
                </c:pt>
                <c:pt idx="3">
                  <c:v>13</c:v>
                </c:pt>
                <c:pt idx="4">
                  <c:v>10</c:v>
                </c:pt>
                <c:pt idx="5">
                  <c:v>7</c:v>
                </c:pt>
              </c:numCache>
            </c:numRef>
          </c:val>
        </c:ser>
        <c:ser>
          <c:idx val="3"/>
          <c:order val="3"/>
          <c:tx>
            <c:strRef>
              <c:f>'pivot table and chart'!$V$3:$V$4</c:f>
              <c:strCache>
                <c:ptCount val="1"/>
                <c:pt idx="0">
                  <c:v>Thursday</c:v>
                </c:pt>
              </c:strCache>
            </c:strRef>
          </c:tx>
          <c:invertIfNegative val="0"/>
          <c:cat>
            <c:strRef>
              <c:f>'pivot table and chart'!$R$5:$R$11</c:f>
              <c:strCache>
                <c:ptCount val="6"/>
                <c:pt idx="0">
                  <c:v>Accessories</c:v>
                </c:pt>
                <c:pt idx="1">
                  <c:v>Books</c:v>
                </c:pt>
                <c:pt idx="2">
                  <c:v>Clothing</c:v>
                </c:pt>
                <c:pt idx="3">
                  <c:v>Electronics</c:v>
                </c:pt>
                <c:pt idx="4">
                  <c:v>Home Decor</c:v>
                </c:pt>
                <c:pt idx="5">
                  <c:v>Toys</c:v>
                </c:pt>
              </c:strCache>
            </c:strRef>
          </c:cat>
          <c:val>
            <c:numRef>
              <c:f>'pivot table and chart'!$V$5:$V$11</c:f>
              <c:numCache>
                <c:formatCode>General</c:formatCode>
                <c:ptCount val="6"/>
                <c:pt idx="0">
                  <c:v>9</c:v>
                </c:pt>
                <c:pt idx="1">
                  <c:v>15</c:v>
                </c:pt>
                <c:pt idx="2">
                  <c:v>12</c:v>
                </c:pt>
                <c:pt idx="3">
                  <c:v>19</c:v>
                </c:pt>
                <c:pt idx="4">
                  <c:v>8</c:v>
                </c:pt>
                <c:pt idx="5">
                  <c:v>13</c:v>
                </c:pt>
              </c:numCache>
            </c:numRef>
          </c:val>
        </c:ser>
        <c:ser>
          <c:idx val="4"/>
          <c:order val="4"/>
          <c:tx>
            <c:strRef>
              <c:f>'pivot table and chart'!$W$3:$W$4</c:f>
              <c:strCache>
                <c:ptCount val="1"/>
                <c:pt idx="0">
                  <c:v>Friday</c:v>
                </c:pt>
              </c:strCache>
            </c:strRef>
          </c:tx>
          <c:invertIfNegative val="0"/>
          <c:cat>
            <c:strRef>
              <c:f>'pivot table and chart'!$R$5:$R$11</c:f>
              <c:strCache>
                <c:ptCount val="6"/>
                <c:pt idx="0">
                  <c:v>Accessories</c:v>
                </c:pt>
                <c:pt idx="1">
                  <c:v>Books</c:v>
                </c:pt>
                <c:pt idx="2">
                  <c:v>Clothing</c:v>
                </c:pt>
                <c:pt idx="3">
                  <c:v>Electronics</c:v>
                </c:pt>
                <c:pt idx="4">
                  <c:v>Home Decor</c:v>
                </c:pt>
                <c:pt idx="5">
                  <c:v>Toys</c:v>
                </c:pt>
              </c:strCache>
            </c:strRef>
          </c:cat>
          <c:val>
            <c:numRef>
              <c:f>'pivot table and chart'!$W$5:$W$11</c:f>
              <c:numCache>
                <c:formatCode>General</c:formatCode>
                <c:ptCount val="6"/>
                <c:pt idx="0">
                  <c:v>14</c:v>
                </c:pt>
                <c:pt idx="1">
                  <c:v>9</c:v>
                </c:pt>
                <c:pt idx="2">
                  <c:v>10</c:v>
                </c:pt>
                <c:pt idx="3">
                  <c:v>13</c:v>
                </c:pt>
                <c:pt idx="4">
                  <c:v>9</c:v>
                </c:pt>
                <c:pt idx="5">
                  <c:v>16</c:v>
                </c:pt>
              </c:numCache>
            </c:numRef>
          </c:val>
        </c:ser>
        <c:ser>
          <c:idx val="5"/>
          <c:order val="5"/>
          <c:tx>
            <c:strRef>
              <c:f>'pivot table and chart'!$X$3:$X$4</c:f>
              <c:strCache>
                <c:ptCount val="1"/>
                <c:pt idx="0">
                  <c:v>Saturday</c:v>
                </c:pt>
              </c:strCache>
            </c:strRef>
          </c:tx>
          <c:invertIfNegative val="0"/>
          <c:cat>
            <c:strRef>
              <c:f>'pivot table and chart'!$R$5:$R$11</c:f>
              <c:strCache>
                <c:ptCount val="6"/>
                <c:pt idx="0">
                  <c:v>Accessories</c:v>
                </c:pt>
                <c:pt idx="1">
                  <c:v>Books</c:v>
                </c:pt>
                <c:pt idx="2">
                  <c:v>Clothing</c:v>
                </c:pt>
                <c:pt idx="3">
                  <c:v>Electronics</c:v>
                </c:pt>
                <c:pt idx="4">
                  <c:v>Home Decor</c:v>
                </c:pt>
                <c:pt idx="5">
                  <c:v>Toys</c:v>
                </c:pt>
              </c:strCache>
            </c:strRef>
          </c:cat>
          <c:val>
            <c:numRef>
              <c:f>'pivot table and chart'!$X$5:$X$11</c:f>
              <c:numCache>
                <c:formatCode>General</c:formatCode>
                <c:ptCount val="6"/>
                <c:pt idx="0">
                  <c:v>18</c:v>
                </c:pt>
                <c:pt idx="1">
                  <c:v>10</c:v>
                </c:pt>
                <c:pt idx="2">
                  <c:v>15</c:v>
                </c:pt>
                <c:pt idx="3">
                  <c:v>16</c:v>
                </c:pt>
                <c:pt idx="4">
                  <c:v>12</c:v>
                </c:pt>
                <c:pt idx="5">
                  <c:v>10</c:v>
                </c:pt>
              </c:numCache>
            </c:numRef>
          </c:val>
        </c:ser>
        <c:ser>
          <c:idx val="6"/>
          <c:order val="6"/>
          <c:tx>
            <c:strRef>
              <c:f>'pivot table and chart'!$Y$3:$Y$4</c:f>
              <c:strCache>
                <c:ptCount val="1"/>
                <c:pt idx="0">
                  <c:v>Sunday</c:v>
                </c:pt>
              </c:strCache>
            </c:strRef>
          </c:tx>
          <c:invertIfNegative val="0"/>
          <c:cat>
            <c:strRef>
              <c:f>'pivot table and chart'!$R$5:$R$11</c:f>
              <c:strCache>
                <c:ptCount val="6"/>
                <c:pt idx="0">
                  <c:v>Accessories</c:v>
                </c:pt>
                <c:pt idx="1">
                  <c:v>Books</c:v>
                </c:pt>
                <c:pt idx="2">
                  <c:v>Clothing</c:v>
                </c:pt>
                <c:pt idx="3">
                  <c:v>Electronics</c:v>
                </c:pt>
                <c:pt idx="4">
                  <c:v>Home Decor</c:v>
                </c:pt>
                <c:pt idx="5">
                  <c:v>Toys</c:v>
                </c:pt>
              </c:strCache>
            </c:strRef>
          </c:cat>
          <c:val>
            <c:numRef>
              <c:f>'pivot table and chart'!$Y$5:$Y$11</c:f>
              <c:numCache>
                <c:formatCode>General</c:formatCode>
                <c:ptCount val="6"/>
                <c:pt idx="0">
                  <c:v>8</c:v>
                </c:pt>
                <c:pt idx="1">
                  <c:v>10</c:v>
                </c:pt>
                <c:pt idx="2">
                  <c:v>9</c:v>
                </c:pt>
                <c:pt idx="3">
                  <c:v>17</c:v>
                </c:pt>
                <c:pt idx="4">
                  <c:v>10</c:v>
                </c:pt>
                <c:pt idx="5">
                  <c:v>7</c:v>
                </c:pt>
              </c:numCache>
            </c:numRef>
          </c:val>
        </c:ser>
        <c:dLbls>
          <c:showLegendKey val="0"/>
          <c:showVal val="0"/>
          <c:showCatName val="0"/>
          <c:showSerName val="0"/>
          <c:showPercent val="0"/>
          <c:showBubbleSize val="0"/>
        </c:dLbls>
        <c:gapWidth val="150"/>
        <c:axId val="208360192"/>
        <c:axId val="208361728"/>
      </c:barChart>
      <c:catAx>
        <c:axId val="208360192"/>
        <c:scaling>
          <c:orientation val="minMax"/>
        </c:scaling>
        <c:delete val="0"/>
        <c:axPos val="b"/>
        <c:majorTickMark val="out"/>
        <c:minorTickMark val="none"/>
        <c:tickLblPos val="nextTo"/>
        <c:crossAx val="208361728"/>
        <c:crosses val="autoZero"/>
        <c:auto val="1"/>
        <c:lblAlgn val="ctr"/>
        <c:lblOffset val="100"/>
        <c:noMultiLvlLbl val="0"/>
      </c:catAx>
      <c:valAx>
        <c:axId val="208361728"/>
        <c:scaling>
          <c:orientation val="minMax"/>
        </c:scaling>
        <c:delete val="0"/>
        <c:axPos val="l"/>
        <c:majorGridlines/>
        <c:numFmt formatCode="General" sourceLinked="1"/>
        <c:majorTickMark val="out"/>
        <c:minorTickMark val="none"/>
        <c:tickLblPos val="nextTo"/>
        <c:crossAx val="208360192"/>
        <c:crosses val="autoZero"/>
        <c:crossBetween val="between"/>
      </c:valAx>
    </c:plotArea>
    <c:legend>
      <c:legendPos val="r"/>
      <c:layout/>
      <c:overlay val="0"/>
    </c:legend>
    <c:plotVisOnly val="1"/>
    <c:dispBlanksAs val="gap"/>
    <c:showDLblsOverMax val="0"/>
  </c:chart>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Lst>
</c:chartSpace>
</file>

<file path=xl/charts/chart9.xml><?xml version="1.0" encoding="utf-8"?>
<c:chartSpace xmlns:c="http://schemas.openxmlformats.org/drawingml/2006/chart" xmlns:a="http://schemas.openxmlformats.org/drawingml/2006/main" xmlns:r="http://schemas.openxmlformats.org/officeDocument/2006/relationships">
  <c:date1904 val="0"/>
  <c:lang val="en-IN"/>
  <c:roundedCorners val="0"/>
  <mc:AlternateContent xmlns:mc="http://schemas.openxmlformats.org/markup-compatibility/2006">
    <mc:Choice xmlns:c14="http://schemas.microsoft.com/office/drawing/2007/8/2/chart" Requires="c14">
      <c14:style val="102"/>
    </mc:Choice>
    <mc:Fallback>
      <c:style val="2"/>
    </mc:Fallback>
  </mc:AlternateContent>
  <c:pivotSource>
    <c:name>[internship -advanced excel 3.xlsx]pivot table and chart!PivotTable3</c:name>
    <c:fmtId val="5"/>
  </c:pivotSource>
  <c:chart>
    <c:title>
      <c:tx>
        <c:rich>
          <a:bodyPr/>
          <a:lstStyle/>
          <a:p>
            <a:pPr>
              <a:defRPr/>
            </a:pPr>
            <a:r>
              <a:rPr lang="en-US"/>
              <a:t>Sales</a:t>
            </a:r>
            <a:r>
              <a:rPr lang="en-US" baseline="0"/>
              <a:t> based on Region</a:t>
            </a:r>
            <a:endParaRPr lang="en-US"/>
          </a:p>
        </c:rich>
      </c:tx>
      <c:layout/>
      <c:overlay val="0"/>
    </c:title>
    <c:autoTitleDeleted val="0"/>
    <c:pivotFmts>
      <c:pivotFmt>
        <c:idx val="0"/>
        <c:marker>
          <c:symbol val="none"/>
        </c:marker>
      </c:pivotFmt>
      <c:pivotFmt>
        <c:idx val="1"/>
        <c:marker>
          <c:symbol val="none"/>
        </c:marker>
      </c:pivotFmt>
      <c:pivotFmt>
        <c:idx val="2"/>
        <c:marker>
          <c:symbol val="none"/>
        </c:marker>
        <c:dLbl>
          <c:idx val="0"/>
          <c:layout/>
          <c:spPr/>
          <c:txPr>
            <a:bodyPr/>
            <a:lstStyle/>
            <a:p>
              <a:pPr>
                <a:defRPr/>
              </a:pPr>
              <a:endParaRPr lang="en-US"/>
            </a:p>
          </c:txPr>
          <c:dLblPos val="bestFit"/>
          <c:showLegendKey val="0"/>
          <c:showVal val="0"/>
          <c:showCatName val="1"/>
          <c:showSerName val="0"/>
          <c:showPercent val="1"/>
          <c:showBubbleSize val="0"/>
        </c:dLbl>
      </c:pivotFmt>
    </c:pivotFmts>
    <c:plotArea>
      <c:layout/>
      <c:pieChart>
        <c:varyColors val="1"/>
        <c:ser>
          <c:idx val="0"/>
          <c:order val="0"/>
          <c:tx>
            <c:strRef>
              <c:f>'pivot table and chart'!$N$3</c:f>
              <c:strCache>
                <c:ptCount val="1"/>
                <c:pt idx="0">
                  <c:v>Total</c:v>
                </c:pt>
              </c:strCache>
            </c:strRef>
          </c:tx>
          <c:explosion val="25"/>
          <c:dLbls>
            <c:spPr/>
            <c:txPr>
              <a:bodyPr/>
              <a:lstStyle/>
              <a:p>
                <a:pPr>
                  <a:defRPr/>
                </a:pPr>
                <a:endParaRPr lang="en-US"/>
              </a:p>
            </c:txPr>
            <c:dLblPos val="bestFit"/>
            <c:showLegendKey val="0"/>
            <c:showVal val="0"/>
            <c:showCatName val="1"/>
            <c:showSerName val="0"/>
            <c:showPercent val="1"/>
            <c:showBubbleSize val="0"/>
            <c:showLeaderLines val="1"/>
          </c:dLbls>
          <c:cat>
            <c:strRef>
              <c:f>'pivot table and chart'!$M$4:$M$8</c:f>
              <c:strCache>
                <c:ptCount val="4"/>
                <c:pt idx="0">
                  <c:v>East</c:v>
                </c:pt>
                <c:pt idx="1">
                  <c:v>North</c:v>
                </c:pt>
                <c:pt idx="2">
                  <c:v>South</c:v>
                </c:pt>
                <c:pt idx="3">
                  <c:v>West</c:v>
                </c:pt>
              </c:strCache>
            </c:strRef>
          </c:cat>
          <c:val>
            <c:numRef>
              <c:f>'pivot table and chart'!$N$4:$N$8</c:f>
              <c:numCache>
                <c:formatCode>0.00%</c:formatCode>
                <c:ptCount val="4"/>
                <c:pt idx="0">
                  <c:v>0.26400000000000001</c:v>
                </c:pt>
                <c:pt idx="1">
                  <c:v>0.26400000000000001</c:v>
                </c:pt>
                <c:pt idx="2">
                  <c:v>0.218</c:v>
                </c:pt>
                <c:pt idx="3">
                  <c:v>0.254</c:v>
                </c:pt>
              </c:numCache>
            </c:numRef>
          </c:val>
        </c:ser>
        <c:dLbls>
          <c:dLblPos val="bestFit"/>
          <c:showLegendKey val="0"/>
          <c:showVal val="0"/>
          <c:showCatName val="1"/>
          <c:showSerName val="0"/>
          <c:showPercent val="1"/>
          <c:showBubbleSize val="0"/>
          <c:showLeaderLines val="1"/>
        </c:dLbls>
        <c:firstSliceAng val="0"/>
      </c:pieChart>
    </c:plotArea>
    <c:plotVisOnly val="1"/>
    <c:dispBlanksAs val="gap"/>
    <c:showDLblsOverMax val="0"/>
  </c:chart>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dropZonesVisible val="1"/>
      </c14:pivotOptions>
    </c:ext>
  </c:extLst>
</c:chartSpace>
</file>

<file path=xl/charts/chart10.xml><?xml version="1.0" encoding="utf-8"?>
<c:chartSpace xmlns:c="http://schemas.openxmlformats.org/drawingml/2006/chart" xmlns:a="http://schemas.openxmlformats.org/drawingml/2006/main" xmlns:r="http://schemas.openxmlformats.org/officeDocument/2006/relationships">
  <c:date1904 val="0"/>
  <c:lang val="en-IN"/>
  <c:roundedCorners val="0"/>
  <mc:AlternateContent xmlns:mc="http://schemas.openxmlformats.org/markup-compatibility/2006">
    <mc:Choice xmlns:c14="http://schemas.microsoft.com/office/drawing/2007/8/2/chart" Requires="c14">
      <c14:style val="102"/>
    </mc:Choice>
    <mc:Fallback>
      <c:style val="2"/>
    </mc:Fallback>
  </mc:AlternateContent>
  <c:pivotSource>
    <c:name>[internship -advanced excel 3.xlsx]pivot table and chart!PivotTable2</c:name>
    <c:fmtId val="2"/>
  </c:pivotSource>
  <c:chart>
    <c:title>
      <c:tx>
        <c:rich>
          <a:bodyPr/>
          <a:lstStyle/>
          <a:p>
            <a:pPr>
              <a:defRPr/>
            </a:pPr>
            <a:r>
              <a:rPr lang="en-US"/>
              <a:t>Number</a:t>
            </a:r>
            <a:r>
              <a:rPr lang="en-US" baseline="0"/>
              <a:t> of Units Sold</a:t>
            </a:r>
            <a:endParaRPr lang="en-US"/>
          </a:p>
        </c:rich>
      </c:tx>
      <c:layout/>
      <c:overlay val="0"/>
    </c:title>
    <c:autoTitleDeleted val="0"/>
    <c:pivotFmts>
      <c:pivotFmt>
        <c:idx val="0"/>
        <c:marker>
          <c:symbol val="none"/>
        </c:marker>
      </c:pivotFmt>
      <c:pivotFmt>
        <c:idx val="1"/>
        <c:marker>
          <c:symbol val="none"/>
        </c:marker>
      </c:pivotFmt>
      <c:pivotFmt>
        <c:idx val="2"/>
        <c:marker>
          <c:symbol val="none"/>
        </c:marker>
      </c:pivotFmt>
    </c:pivotFmts>
    <c:plotArea>
      <c:layout/>
      <c:barChart>
        <c:barDir val="bar"/>
        <c:grouping val="clustered"/>
        <c:varyColors val="0"/>
        <c:ser>
          <c:idx val="0"/>
          <c:order val="0"/>
          <c:tx>
            <c:strRef>
              <c:f>'pivot table and chart'!$B$3</c:f>
              <c:strCache>
                <c:ptCount val="1"/>
                <c:pt idx="0">
                  <c:v>Total</c:v>
                </c:pt>
              </c:strCache>
            </c:strRef>
          </c:tx>
          <c:invertIfNegative val="0"/>
          <c:cat>
            <c:strRef>
              <c:f>'pivot table and chart'!$A$4:$A$10</c:f>
              <c:strCache>
                <c:ptCount val="6"/>
                <c:pt idx="0">
                  <c:v>Accessories</c:v>
                </c:pt>
                <c:pt idx="1">
                  <c:v>Books</c:v>
                </c:pt>
                <c:pt idx="2">
                  <c:v>Clothing</c:v>
                </c:pt>
                <c:pt idx="3">
                  <c:v>Electronics</c:v>
                </c:pt>
                <c:pt idx="4">
                  <c:v>Home Decor</c:v>
                </c:pt>
                <c:pt idx="5">
                  <c:v>Toys</c:v>
                </c:pt>
              </c:strCache>
            </c:strRef>
          </c:cat>
          <c:val>
            <c:numRef>
              <c:f>'pivot table and chart'!$B$4:$B$10</c:f>
              <c:numCache>
                <c:formatCode>General</c:formatCode>
                <c:ptCount val="6"/>
                <c:pt idx="0">
                  <c:v>436</c:v>
                </c:pt>
                <c:pt idx="1">
                  <c:v>349</c:v>
                </c:pt>
                <c:pt idx="2">
                  <c:v>415</c:v>
                </c:pt>
                <c:pt idx="3">
                  <c:v>498</c:v>
                </c:pt>
                <c:pt idx="4">
                  <c:v>384</c:v>
                </c:pt>
                <c:pt idx="5">
                  <c:v>379</c:v>
                </c:pt>
              </c:numCache>
            </c:numRef>
          </c:val>
        </c:ser>
        <c:dLbls>
          <c:showLegendKey val="0"/>
          <c:showVal val="0"/>
          <c:showCatName val="0"/>
          <c:showSerName val="0"/>
          <c:showPercent val="0"/>
          <c:showBubbleSize val="0"/>
        </c:dLbls>
        <c:gapWidth val="150"/>
        <c:axId val="208408960"/>
        <c:axId val="208398976"/>
      </c:barChart>
      <c:valAx>
        <c:axId val="208398976"/>
        <c:scaling>
          <c:orientation val="minMax"/>
        </c:scaling>
        <c:delete val="0"/>
        <c:axPos val="b"/>
        <c:majorGridlines/>
        <c:numFmt formatCode="General" sourceLinked="1"/>
        <c:majorTickMark val="out"/>
        <c:minorTickMark val="none"/>
        <c:tickLblPos val="nextTo"/>
        <c:crossAx val="208408960"/>
        <c:crosses val="autoZero"/>
        <c:crossBetween val="between"/>
      </c:valAx>
      <c:catAx>
        <c:axId val="208408960"/>
        <c:scaling>
          <c:orientation val="minMax"/>
        </c:scaling>
        <c:delete val="0"/>
        <c:axPos val="l"/>
        <c:majorTickMark val="out"/>
        <c:minorTickMark val="none"/>
        <c:tickLblPos val="nextTo"/>
        <c:crossAx val="208398976"/>
        <c:crosses val="autoZero"/>
        <c:auto val="1"/>
        <c:lblAlgn val="ctr"/>
        <c:lblOffset val="100"/>
        <c:noMultiLvlLbl val="0"/>
      </c:catAx>
    </c:plotArea>
    <c:legend>
      <c:legendPos val="r"/>
      <c:layout/>
      <c:overlay val="0"/>
    </c:legend>
    <c:plotVisOnly val="1"/>
    <c:dispBlanksAs val="gap"/>
    <c:showDLblsOverMax val="0"/>
  </c:chart>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Lst>
</c:chartSpace>
</file>

<file path=xl/charts/chart11.xml><?xml version="1.0" encoding="utf-8"?>
<c:chartSpace xmlns:c="http://schemas.openxmlformats.org/drawingml/2006/chart" xmlns:a="http://schemas.openxmlformats.org/drawingml/2006/main" xmlns:r="http://schemas.openxmlformats.org/officeDocument/2006/relationships">
  <c:date1904 val="0"/>
  <c:lang val="en-IN"/>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a:pPr>
            <a:r>
              <a:rPr lang="en-IN"/>
              <a:t>Monday sales according </a:t>
            </a:r>
          </a:p>
          <a:p>
            <a:pPr>
              <a:defRPr/>
            </a:pPr>
            <a:r>
              <a:rPr lang="en-IN"/>
              <a:t>to Region</a:t>
            </a:r>
          </a:p>
        </c:rich>
      </c:tx>
      <c:layout>
        <c:manualLayout>
          <c:xMode val="edge"/>
          <c:yMode val="edge"/>
          <c:x val="0.13124854749193501"/>
          <c:y val="0.06"/>
        </c:manualLayout>
      </c:layout>
      <c:overlay val="0"/>
    </c:title>
    <c:autoTitleDeleted val="0"/>
    <c:plotArea>
      <c:layout/>
      <c:pieChart>
        <c:varyColors val="1"/>
        <c:ser>
          <c:idx val="0"/>
          <c:order val="0"/>
          <c:tx>
            <c:strRef>
              <c:f>data!$S$1</c:f>
              <c:strCache>
                <c:ptCount val="1"/>
                <c:pt idx="0">
                  <c:v>Monday</c:v>
                </c:pt>
              </c:strCache>
            </c:strRef>
          </c:tx>
          <c:cat>
            <c:strRef>
              <c:f>data!$R$2:$R$5</c:f>
              <c:strCache>
                <c:ptCount val="4"/>
                <c:pt idx="0">
                  <c:v>North</c:v>
                </c:pt>
                <c:pt idx="1">
                  <c:v>South</c:v>
                </c:pt>
                <c:pt idx="2">
                  <c:v>East</c:v>
                </c:pt>
                <c:pt idx="3">
                  <c:v>West</c:v>
                </c:pt>
              </c:strCache>
            </c:strRef>
          </c:cat>
          <c:val>
            <c:numRef>
              <c:f>data!$S$2:$S$5</c:f>
              <c:numCache>
                <c:formatCode>General</c:formatCode>
                <c:ptCount val="4"/>
                <c:pt idx="0">
                  <c:v>26249</c:v>
                </c:pt>
                <c:pt idx="1">
                  <c:v>27848</c:v>
                </c:pt>
                <c:pt idx="2">
                  <c:v>20382</c:v>
                </c:pt>
                <c:pt idx="3">
                  <c:v>0</c:v>
                </c:pt>
              </c:numCache>
            </c:numRef>
          </c:val>
        </c:ser>
        <c:dLbls>
          <c:showLegendKey val="0"/>
          <c:showVal val="0"/>
          <c:showCatName val="0"/>
          <c:showSerName val="0"/>
          <c:showPercent val="0"/>
          <c:showBubbleSize val="0"/>
          <c:showLeaderLines val="1"/>
        </c:dLbls>
        <c:firstSliceAng val="0"/>
      </c:pieChart>
    </c:plotArea>
    <c:legend>
      <c:legendPos val="r"/>
      <c:layout/>
      <c:overlay val="0"/>
    </c:legend>
    <c:plotVisOnly val="1"/>
    <c:dispBlanksAs val="gap"/>
    <c:showDLblsOverMax val="0"/>
  </c:chart>
  <c:printSettings>
    <c:headerFooter/>
    <c:pageMargins b="0.75" l="0.7" r="0.7" t="0.75" header="0.3" footer="0.3"/>
    <c:pageSetup/>
  </c:printSettings>
</c:chartSpace>
</file>

<file path=xl/charts/chart12.xml><?xml version="1.0" encoding="utf-8"?>
<c:chartSpace xmlns:c="http://schemas.openxmlformats.org/drawingml/2006/chart" xmlns:a="http://schemas.openxmlformats.org/drawingml/2006/main" xmlns:r="http://schemas.openxmlformats.org/officeDocument/2006/relationships">
  <c:date1904 val="0"/>
  <c:lang val="en-IN"/>
  <c:roundedCorners val="0"/>
  <mc:AlternateContent xmlns:mc="http://schemas.openxmlformats.org/markup-compatibility/2006">
    <mc:Choice xmlns:c14="http://schemas.microsoft.com/office/drawing/2007/8/2/chart" Requires="c14">
      <c14:style val="106"/>
    </mc:Choice>
    <mc:Fallback>
      <c:style val="6"/>
    </mc:Fallback>
  </mc:AlternateContent>
  <c:pivotSource>
    <c:name>[internship -advanced excel 3.xlsx]pivot table and chart!PivotTable5</c:name>
    <c:fmtId val="2"/>
  </c:pivotSource>
  <c:chart>
    <c:title>
      <c:tx>
        <c:rich>
          <a:bodyPr/>
          <a:lstStyle/>
          <a:p>
            <a:pPr>
              <a:defRPr/>
            </a:pPr>
            <a:r>
              <a:rPr lang="en-US"/>
              <a:t>Payment</a:t>
            </a:r>
            <a:r>
              <a:rPr lang="en-US" baseline="0"/>
              <a:t> </a:t>
            </a:r>
          </a:p>
          <a:p>
            <a:pPr>
              <a:defRPr/>
            </a:pPr>
            <a:r>
              <a:rPr lang="en-US" baseline="0"/>
              <a:t>method</a:t>
            </a:r>
            <a:endParaRPr lang="en-US"/>
          </a:p>
        </c:rich>
      </c:tx>
      <c:layout/>
      <c:overlay val="0"/>
    </c:title>
    <c:autoTitleDeleted val="0"/>
    <c:pivotFmts>
      <c:pivotFmt>
        <c:idx val="0"/>
        <c:dLbl>
          <c:idx val="0"/>
          <c:spPr/>
          <c:txPr>
            <a:bodyPr/>
            <a:lstStyle/>
            <a:p>
              <a:pPr>
                <a:defRPr/>
              </a:pPr>
              <a:endParaRPr lang="en-US"/>
            </a:p>
          </c:txPr>
          <c:showLegendKey val="0"/>
          <c:showVal val="1"/>
          <c:showCatName val="1"/>
          <c:showSerName val="0"/>
          <c:showPercent val="0"/>
          <c:showBubbleSize val="0"/>
        </c:dLbl>
      </c:pivotFmt>
      <c:pivotFmt>
        <c:idx val="1"/>
        <c:marker>
          <c:symbol val="none"/>
        </c:marker>
        <c:dLbl>
          <c:idx val="0"/>
          <c:spPr/>
          <c:txPr>
            <a:bodyPr/>
            <a:lstStyle/>
            <a:p>
              <a:pPr>
                <a:defRPr/>
              </a:pPr>
              <a:endParaRPr lang="en-US"/>
            </a:p>
          </c:txPr>
          <c:showLegendKey val="0"/>
          <c:showVal val="1"/>
          <c:showCatName val="1"/>
          <c:showSerName val="0"/>
          <c:showPercent val="0"/>
          <c:showBubbleSize val="0"/>
        </c:dLbl>
      </c:pivotFmt>
      <c:pivotFmt>
        <c:idx val="2"/>
        <c:marker>
          <c:symbol val="none"/>
        </c:marker>
        <c:dLbl>
          <c:idx val="0"/>
          <c:layout/>
          <c:spPr/>
          <c:txPr>
            <a:bodyPr/>
            <a:lstStyle/>
            <a:p>
              <a:pPr>
                <a:defRPr/>
              </a:pPr>
              <a:endParaRPr lang="en-US"/>
            </a:p>
          </c:txPr>
          <c:showLegendKey val="0"/>
          <c:showVal val="1"/>
          <c:showCatName val="1"/>
          <c:showSerName val="0"/>
          <c:showPercent val="0"/>
          <c:showBubbleSize val="0"/>
        </c:dLbl>
      </c:pivotFmt>
    </c:pivotFmts>
    <c:plotArea>
      <c:layout/>
      <c:pieChart>
        <c:varyColors val="1"/>
        <c:ser>
          <c:idx val="0"/>
          <c:order val="0"/>
          <c:tx>
            <c:strRef>
              <c:f>'pivot table and chart'!$AC$3</c:f>
              <c:strCache>
                <c:ptCount val="1"/>
                <c:pt idx="0">
                  <c:v>Total</c:v>
                </c:pt>
              </c:strCache>
            </c:strRef>
          </c:tx>
          <c:dLbls>
            <c:spPr/>
            <c:txPr>
              <a:bodyPr/>
              <a:lstStyle/>
              <a:p>
                <a:pPr>
                  <a:defRPr/>
                </a:pPr>
                <a:endParaRPr lang="en-US"/>
              </a:p>
            </c:txPr>
            <c:showLegendKey val="0"/>
            <c:showVal val="1"/>
            <c:showCatName val="1"/>
            <c:showSerName val="0"/>
            <c:showPercent val="0"/>
            <c:showBubbleSize val="0"/>
            <c:showLeaderLines val="1"/>
          </c:dLbls>
          <c:cat>
            <c:strRef>
              <c:f>'pivot table and chart'!$AB$4:$AB$8</c:f>
              <c:strCache>
                <c:ptCount val="4"/>
                <c:pt idx="0">
                  <c:v>Cash on Delivery</c:v>
                </c:pt>
                <c:pt idx="1">
                  <c:v>Credit Card</c:v>
                </c:pt>
                <c:pt idx="2">
                  <c:v>PayPal</c:v>
                </c:pt>
                <c:pt idx="3">
                  <c:v>UPI</c:v>
                </c:pt>
              </c:strCache>
            </c:strRef>
          </c:cat>
          <c:val>
            <c:numRef>
              <c:f>'pivot table and chart'!$AC$4:$AC$8</c:f>
              <c:numCache>
                <c:formatCode>0.00%</c:formatCode>
                <c:ptCount val="4"/>
                <c:pt idx="0">
                  <c:v>0.28346456692913385</c:v>
                </c:pt>
                <c:pt idx="1">
                  <c:v>0.28346456692913385</c:v>
                </c:pt>
                <c:pt idx="2">
                  <c:v>0.22047244094488189</c:v>
                </c:pt>
                <c:pt idx="3">
                  <c:v>0.2125984251968504</c:v>
                </c:pt>
              </c:numCache>
            </c:numRef>
          </c:val>
        </c:ser>
        <c:dLbls>
          <c:showLegendKey val="0"/>
          <c:showVal val="0"/>
          <c:showCatName val="0"/>
          <c:showSerName val="0"/>
          <c:showPercent val="0"/>
          <c:showBubbleSize val="0"/>
          <c:showLeaderLines val="1"/>
        </c:dLbls>
        <c:firstSliceAng val="0"/>
      </c:pieChart>
    </c:plotArea>
    <c:plotVisOnly val="1"/>
    <c:dispBlanksAs val="gap"/>
    <c:showDLblsOverMax val="0"/>
  </c:chart>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dropZonesVisible val="1"/>
      </c14:pivotOptions>
    </c:ext>
  </c:extLst>
</c:chartSpace>
</file>

<file path=xl/charts/chart13.xml><?xml version="1.0" encoding="utf-8"?>
<c:chartSpace xmlns:c="http://schemas.openxmlformats.org/drawingml/2006/chart" xmlns:a="http://schemas.openxmlformats.org/drawingml/2006/main" xmlns:r="http://schemas.openxmlformats.org/officeDocument/2006/relationships">
  <c:date1904 val="0"/>
  <c:lang val="en-IN"/>
  <c:roundedCorners val="0"/>
  <mc:AlternateContent xmlns:mc="http://schemas.openxmlformats.org/markup-compatibility/2006">
    <mc:Choice xmlns:c14="http://schemas.microsoft.com/office/drawing/2007/8/2/chart" Requires="c14">
      <c14:style val="102"/>
    </mc:Choice>
    <mc:Fallback>
      <c:style val="2"/>
    </mc:Fallback>
  </mc:AlternateContent>
  <c:pivotSource>
    <c:name>[internship -advanced excel 3.xlsx]pivot table and chart!PivotTable6</c:name>
    <c:fmtId val="2"/>
  </c:pivotSource>
  <c:chart>
    <c:title>
      <c:tx>
        <c:rich>
          <a:bodyPr/>
          <a:lstStyle/>
          <a:p>
            <a:pPr>
              <a:defRPr/>
            </a:pPr>
            <a:r>
              <a:rPr lang="en-IN"/>
              <a:t>Which</a:t>
            </a:r>
            <a:r>
              <a:rPr lang="en-IN" baseline="0"/>
              <a:t> product has </a:t>
            </a:r>
          </a:p>
          <a:p>
            <a:pPr>
              <a:defRPr/>
            </a:pPr>
            <a:r>
              <a:rPr lang="en-IN" baseline="0"/>
              <a:t>the highest sales</a:t>
            </a:r>
            <a:endParaRPr lang="en-IN"/>
          </a:p>
        </c:rich>
      </c:tx>
      <c:layout>
        <c:manualLayout>
          <c:xMode val="edge"/>
          <c:yMode val="edge"/>
          <c:x val="0.26908877848127755"/>
          <c:y val="0.11934966462525518"/>
        </c:manualLayout>
      </c:layout>
      <c:overlay val="0"/>
    </c:title>
    <c:autoTitleDeleted val="0"/>
    <c:pivotFmts>
      <c:pivotFmt>
        <c:idx val="0"/>
        <c:marker>
          <c:symbol val="none"/>
        </c:marker>
      </c:pivotFmt>
      <c:pivotFmt>
        <c:idx val="1"/>
        <c:marker>
          <c:symbol val="none"/>
        </c:marker>
      </c:pivotFmt>
      <c:pivotFmt>
        <c:idx val="2"/>
        <c:marker>
          <c:symbol val="none"/>
        </c:marker>
      </c:pivotFmt>
    </c:pivotFmts>
    <c:plotArea>
      <c:layout>
        <c:manualLayout>
          <c:layoutTarget val="inner"/>
          <c:xMode val="edge"/>
          <c:yMode val="edge"/>
          <c:x val="6.3525669769638707E-2"/>
          <c:y val="0.3325557742782152"/>
          <c:w val="0.78743983881285895"/>
          <c:h val="0.43222039953339164"/>
        </c:manualLayout>
      </c:layout>
      <c:barChart>
        <c:barDir val="col"/>
        <c:grouping val="clustered"/>
        <c:varyColors val="0"/>
        <c:ser>
          <c:idx val="0"/>
          <c:order val="0"/>
          <c:tx>
            <c:strRef>
              <c:f>'pivot table and chart'!$AH$4</c:f>
              <c:strCache>
                <c:ptCount val="1"/>
                <c:pt idx="0">
                  <c:v>Total</c:v>
                </c:pt>
              </c:strCache>
            </c:strRef>
          </c:tx>
          <c:invertIfNegative val="0"/>
          <c:cat>
            <c:multiLvlStrRef>
              <c:f>'pivot table and chart'!$AG$5:$AG$11</c:f>
              <c:multiLvlStrCache>
                <c:ptCount val="5"/>
                <c:lvl>
                  <c:pt idx="0">
                    <c:v>Action Figure</c:v>
                  </c:pt>
                  <c:pt idx="1">
                    <c:v>Board Game</c:v>
                  </c:pt>
                  <c:pt idx="2">
                    <c:v>Doll</c:v>
                  </c:pt>
                  <c:pt idx="3">
                    <c:v>Lego Set</c:v>
                  </c:pt>
                  <c:pt idx="4">
                    <c:v>Puzzle</c:v>
                  </c:pt>
                </c:lvl>
                <c:lvl>
                  <c:pt idx="0">
                    <c:v>Toys</c:v>
                  </c:pt>
                </c:lvl>
              </c:multiLvlStrCache>
            </c:multiLvlStrRef>
          </c:cat>
          <c:val>
            <c:numRef>
              <c:f>'pivot table and chart'!$AH$5:$AH$11</c:f>
              <c:numCache>
                <c:formatCode>General</c:formatCode>
                <c:ptCount val="5"/>
                <c:pt idx="0">
                  <c:v>13</c:v>
                </c:pt>
                <c:pt idx="1">
                  <c:v>13</c:v>
                </c:pt>
                <c:pt idx="2">
                  <c:v>15</c:v>
                </c:pt>
                <c:pt idx="3">
                  <c:v>20</c:v>
                </c:pt>
                <c:pt idx="4">
                  <c:v>13</c:v>
                </c:pt>
              </c:numCache>
            </c:numRef>
          </c:val>
        </c:ser>
        <c:dLbls>
          <c:showLegendKey val="0"/>
          <c:showVal val="0"/>
          <c:showCatName val="0"/>
          <c:showSerName val="0"/>
          <c:showPercent val="0"/>
          <c:showBubbleSize val="0"/>
        </c:dLbls>
        <c:gapWidth val="150"/>
        <c:axId val="212232448"/>
        <c:axId val="212238336"/>
      </c:barChart>
      <c:catAx>
        <c:axId val="212232448"/>
        <c:scaling>
          <c:orientation val="minMax"/>
        </c:scaling>
        <c:delete val="0"/>
        <c:axPos val="b"/>
        <c:majorTickMark val="out"/>
        <c:minorTickMark val="none"/>
        <c:tickLblPos val="nextTo"/>
        <c:crossAx val="212238336"/>
        <c:crosses val="autoZero"/>
        <c:auto val="1"/>
        <c:lblAlgn val="ctr"/>
        <c:lblOffset val="100"/>
        <c:noMultiLvlLbl val="0"/>
      </c:catAx>
      <c:valAx>
        <c:axId val="212238336"/>
        <c:scaling>
          <c:orientation val="minMax"/>
        </c:scaling>
        <c:delete val="0"/>
        <c:axPos val="l"/>
        <c:majorGridlines/>
        <c:numFmt formatCode="General" sourceLinked="1"/>
        <c:majorTickMark val="out"/>
        <c:minorTickMark val="none"/>
        <c:tickLblPos val="nextTo"/>
        <c:crossAx val="212232448"/>
        <c:crosses val="autoZero"/>
        <c:crossBetween val="between"/>
      </c:valAx>
    </c:plotArea>
    <c:legend>
      <c:legendPos val="r"/>
      <c:layout/>
      <c:overlay val="0"/>
    </c:legend>
    <c:plotVisOnly val="1"/>
    <c:dispBlanksAs val="gap"/>
    <c:showDLblsOverMax val="0"/>
  </c:chart>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Lst>
</c:chartSpace>
</file>

<file path=xl/charts/chart14.xml><?xml version="1.0" encoding="utf-8"?>
<c:chartSpace xmlns:c="http://schemas.openxmlformats.org/drawingml/2006/chart" xmlns:a="http://schemas.openxmlformats.org/drawingml/2006/main" xmlns:r="http://schemas.openxmlformats.org/officeDocument/2006/relationships">
  <c:date1904 val="0"/>
  <c:lang val="en-IN"/>
  <c:roundedCorners val="0"/>
  <mc:AlternateContent xmlns:mc="http://schemas.openxmlformats.org/markup-compatibility/2006">
    <mc:Choice xmlns:c14="http://schemas.microsoft.com/office/drawing/2007/8/2/chart" Requires="c14">
      <c14:style val="108"/>
    </mc:Choice>
    <mc:Fallback>
      <c:style val="8"/>
    </mc:Fallback>
  </mc:AlternateContent>
  <c:chart>
    <c:title>
      <c:tx>
        <c:rich>
          <a:bodyPr/>
          <a:lstStyle/>
          <a:p>
            <a:pPr>
              <a:defRPr/>
            </a:pPr>
            <a:r>
              <a:rPr lang="en-US"/>
              <a:t>Sales by Category</a:t>
            </a:r>
          </a:p>
        </c:rich>
      </c:tx>
      <c:layout/>
      <c:overlay val="0"/>
    </c:title>
    <c:autoTitleDeleted val="0"/>
    <c:view3D>
      <c:rotX val="15"/>
      <c:rotY val="20"/>
      <c:rAngAx val="1"/>
    </c:view3D>
    <c:floor>
      <c:thickness val="0"/>
    </c:floor>
    <c:sideWall>
      <c:thickness val="0"/>
    </c:sideWall>
    <c:backWall>
      <c:thickness val="0"/>
    </c:backWall>
    <c:plotArea>
      <c:layout/>
      <c:bar3DChart>
        <c:barDir val="col"/>
        <c:grouping val="stacked"/>
        <c:varyColors val="0"/>
        <c:ser>
          <c:idx val="0"/>
          <c:order val="0"/>
          <c:tx>
            <c:strRef>
              <c:f>data!$AA$1</c:f>
              <c:strCache>
                <c:ptCount val="1"/>
                <c:pt idx="0">
                  <c:v>Amount</c:v>
                </c:pt>
              </c:strCache>
            </c:strRef>
          </c:tx>
          <c:invertIfNegative val="0"/>
          <c:cat>
            <c:strRef>
              <c:f>data!$Z$2:$Z$7</c:f>
              <c:strCache>
                <c:ptCount val="6"/>
                <c:pt idx="0">
                  <c:v>Toys</c:v>
                </c:pt>
                <c:pt idx="1">
                  <c:v>Books</c:v>
                </c:pt>
                <c:pt idx="2">
                  <c:v>Electronics</c:v>
                </c:pt>
                <c:pt idx="3">
                  <c:v>Clothing</c:v>
                </c:pt>
                <c:pt idx="4">
                  <c:v>Accessories</c:v>
                </c:pt>
                <c:pt idx="5">
                  <c:v>Home Decor</c:v>
                </c:pt>
              </c:strCache>
            </c:strRef>
          </c:cat>
          <c:val>
            <c:numRef>
              <c:f>data!$AA$2:$AA$7</c:f>
              <c:numCache>
                <c:formatCode>General</c:formatCode>
                <c:ptCount val="6"/>
                <c:pt idx="0">
                  <c:v>96737</c:v>
                </c:pt>
                <c:pt idx="1">
                  <c:v>85611</c:v>
                </c:pt>
                <c:pt idx="2">
                  <c:v>124528</c:v>
                </c:pt>
                <c:pt idx="3">
                  <c:v>108597</c:v>
                </c:pt>
                <c:pt idx="4">
                  <c:v>114528</c:v>
                </c:pt>
                <c:pt idx="5">
                  <c:v>100957</c:v>
                </c:pt>
              </c:numCache>
            </c:numRef>
          </c:val>
        </c:ser>
        <c:dLbls>
          <c:showLegendKey val="0"/>
          <c:showVal val="0"/>
          <c:showCatName val="0"/>
          <c:showSerName val="0"/>
          <c:showPercent val="0"/>
          <c:showBubbleSize val="0"/>
        </c:dLbls>
        <c:gapWidth val="150"/>
        <c:shape val="box"/>
        <c:axId val="212341120"/>
        <c:axId val="212342656"/>
        <c:axId val="0"/>
      </c:bar3DChart>
      <c:catAx>
        <c:axId val="212341120"/>
        <c:scaling>
          <c:orientation val="minMax"/>
        </c:scaling>
        <c:delete val="0"/>
        <c:axPos val="b"/>
        <c:majorTickMark val="out"/>
        <c:minorTickMark val="none"/>
        <c:tickLblPos val="nextTo"/>
        <c:crossAx val="212342656"/>
        <c:crosses val="autoZero"/>
        <c:auto val="1"/>
        <c:lblAlgn val="ctr"/>
        <c:lblOffset val="100"/>
        <c:noMultiLvlLbl val="0"/>
      </c:catAx>
      <c:valAx>
        <c:axId val="212342656"/>
        <c:scaling>
          <c:orientation val="minMax"/>
        </c:scaling>
        <c:delete val="0"/>
        <c:axPos val="l"/>
        <c:majorGridlines/>
        <c:numFmt formatCode="General" sourceLinked="1"/>
        <c:majorTickMark val="out"/>
        <c:minorTickMark val="none"/>
        <c:tickLblPos val="nextTo"/>
        <c:crossAx val="212341120"/>
        <c:crosses val="autoZero"/>
        <c:crossBetween val="between"/>
      </c:valAx>
    </c:plotArea>
    <c:legend>
      <c:legendPos val="r"/>
      <c:layout>
        <c:manualLayout>
          <c:xMode val="edge"/>
          <c:yMode val="edge"/>
          <c:x val="0.86006707494896473"/>
          <c:y val="0.5348353952517918"/>
          <c:w val="0.13199641711452736"/>
          <c:h val="8.4598456360807248E-2"/>
        </c:manualLayout>
      </c:layout>
      <c:overlay val="0"/>
    </c:legend>
    <c:plotVisOnly val="1"/>
    <c:dispBlanksAs val="gap"/>
    <c:showDLblsOverMax val="0"/>
  </c:chart>
  <c:printSettings>
    <c:headerFooter/>
    <c:pageMargins b="0.75" l="0.7" r="0.7" t="0.75" header="0.3" footer="0.3"/>
    <c:pageSetup orientation="portrait"/>
  </c:printSettings>
</c:chartSpace>
</file>

<file path=xl/drawings/_rels/drawing1.xml.rels><?xml version="1.0" encoding="UTF-8" standalone="yes"?>
<Relationships xmlns="http://schemas.openxmlformats.org/package/2006/relationships"><Relationship Id="rId2" Type="http://schemas.openxmlformats.org/officeDocument/2006/relationships/chart" Target="../charts/chart2.xml"/><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3" Type="http://schemas.openxmlformats.org/officeDocument/2006/relationships/chart" Target="../charts/chart5.xml"/><Relationship Id="rId2" Type="http://schemas.openxmlformats.org/officeDocument/2006/relationships/chart" Target="../charts/chart4.xml"/><Relationship Id="rId1" Type="http://schemas.openxmlformats.org/officeDocument/2006/relationships/chart" Target="../charts/chart3.xml"/><Relationship Id="rId5" Type="http://schemas.openxmlformats.org/officeDocument/2006/relationships/chart" Target="../charts/chart7.xml"/><Relationship Id="rId4" Type="http://schemas.openxmlformats.org/officeDocument/2006/relationships/chart" Target="../charts/chart6.xml"/></Relationships>
</file>

<file path=xl/drawings/_rels/drawing3.xml.rels><?xml version="1.0" encoding="UTF-8" standalone="yes"?>
<Relationships xmlns="http://schemas.openxmlformats.org/package/2006/relationships"><Relationship Id="rId3" Type="http://schemas.openxmlformats.org/officeDocument/2006/relationships/chart" Target="../charts/chart10.xml"/><Relationship Id="rId7" Type="http://schemas.openxmlformats.org/officeDocument/2006/relationships/chart" Target="../charts/chart14.xml"/><Relationship Id="rId2" Type="http://schemas.openxmlformats.org/officeDocument/2006/relationships/chart" Target="../charts/chart9.xml"/><Relationship Id="rId1" Type="http://schemas.openxmlformats.org/officeDocument/2006/relationships/chart" Target="../charts/chart8.xml"/><Relationship Id="rId6" Type="http://schemas.openxmlformats.org/officeDocument/2006/relationships/chart" Target="../charts/chart13.xml"/><Relationship Id="rId5" Type="http://schemas.openxmlformats.org/officeDocument/2006/relationships/chart" Target="../charts/chart12.xml"/><Relationship Id="rId4" Type="http://schemas.openxmlformats.org/officeDocument/2006/relationships/chart" Target="../charts/chart11.xml"/></Relationships>
</file>

<file path=xl/drawings/drawing1.xml><?xml version="1.0" encoding="utf-8"?>
<xdr:wsDr xmlns:xdr="http://schemas.openxmlformats.org/drawingml/2006/spreadsheetDrawing" xmlns:a="http://schemas.openxmlformats.org/drawingml/2006/main">
  <xdr:twoCellAnchor>
    <xdr:from>
      <xdr:col>14</xdr:col>
      <xdr:colOff>541875</xdr:colOff>
      <xdr:row>8</xdr:row>
      <xdr:rowOff>132331</xdr:rowOff>
    </xdr:from>
    <xdr:to>
      <xdr:col>20</xdr:col>
      <xdr:colOff>395654</xdr:colOff>
      <xdr:row>19</xdr:row>
      <xdr:rowOff>161193</xdr:rowOff>
    </xdr:to>
    <xdr:graphicFrame macro="">
      <xdr:nvGraphicFramePr>
        <xdr:cNvPr id="2" name="Chart 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24</xdr:col>
      <xdr:colOff>598577</xdr:colOff>
      <xdr:row>8</xdr:row>
      <xdr:rowOff>122455</xdr:rowOff>
    </xdr:from>
    <xdr:to>
      <xdr:col>32</xdr:col>
      <xdr:colOff>129336</xdr:colOff>
      <xdr:row>23</xdr:row>
      <xdr:rowOff>8155</xdr:rowOff>
    </xdr:to>
    <xdr:graphicFrame macro="">
      <xdr:nvGraphicFramePr>
        <xdr:cNvPr id="4" name="Chart 3"/>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0</xdr:col>
      <xdr:colOff>0</xdr:colOff>
      <xdr:row>10</xdr:row>
      <xdr:rowOff>171450</xdr:rowOff>
    </xdr:from>
    <xdr:to>
      <xdr:col>4</xdr:col>
      <xdr:colOff>76200</xdr:colOff>
      <xdr:row>22</xdr:row>
      <xdr:rowOff>57150</xdr:rowOff>
    </xdr:to>
    <xdr:graphicFrame macro="">
      <xdr:nvGraphicFramePr>
        <xdr:cNvPr id="2" name="Chart 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5</xdr:col>
      <xdr:colOff>590551</xdr:colOff>
      <xdr:row>11</xdr:row>
      <xdr:rowOff>28575</xdr:rowOff>
    </xdr:from>
    <xdr:to>
      <xdr:col>14</xdr:col>
      <xdr:colOff>200026</xdr:colOff>
      <xdr:row>22</xdr:row>
      <xdr:rowOff>47625</xdr:rowOff>
    </xdr:to>
    <xdr:graphicFrame macro="">
      <xdr:nvGraphicFramePr>
        <xdr:cNvPr id="4" name="Chart 3"/>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17</xdr:col>
      <xdr:colOff>28575</xdr:colOff>
      <xdr:row>11</xdr:row>
      <xdr:rowOff>152400</xdr:rowOff>
    </xdr:from>
    <xdr:to>
      <xdr:col>25</xdr:col>
      <xdr:colOff>742949</xdr:colOff>
      <xdr:row>25</xdr:row>
      <xdr:rowOff>28575</xdr:rowOff>
    </xdr:to>
    <xdr:graphicFrame macro="">
      <xdr:nvGraphicFramePr>
        <xdr:cNvPr id="5" name="Chart 4"/>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27</xdr:col>
      <xdr:colOff>38100</xdr:colOff>
      <xdr:row>12</xdr:row>
      <xdr:rowOff>19050</xdr:rowOff>
    </xdr:from>
    <xdr:to>
      <xdr:col>30</xdr:col>
      <xdr:colOff>323850</xdr:colOff>
      <xdr:row>24</xdr:row>
      <xdr:rowOff>19050</xdr:rowOff>
    </xdr:to>
    <xdr:graphicFrame macro="">
      <xdr:nvGraphicFramePr>
        <xdr:cNvPr id="7" name="Chart 6"/>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editAs="oneCell">
    <xdr:from>
      <xdr:col>29</xdr:col>
      <xdr:colOff>809625</xdr:colOff>
      <xdr:row>13</xdr:row>
      <xdr:rowOff>104776</xdr:rowOff>
    </xdr:from>
    <xdr:to>
      <xdr:col>32</xdr:col>
      <xdr:colOff>38100</xdr:colOff>
      <xdr:row>23</xdr:row>
      <xdr:rowOff>9525</xdr:rowOff>
    </xdr:to>
    <mc:AlternateContent xmlns:mc="http://schemas.openxmlformats.org/markup-compatibility/2006" xmlns:a14="http://schemas.microsoft.com/office/drawing/2010/main">
      <mc:Choice Requires="a14">
        <xdr:graphicFrame macro="">
          <xdr:nvGraphicFramePr>
            <xdr:cNvPr id="8" name="CustomerRegion"/>
            <xdr:cNvGraphicFramePr/>
          </xdr:nvGraphicFramePr>
          <xdr:xfrm>
            <a:off x="0" y="0"/>
            <a:ext cx="0" cy="0"/>
          </xdr:xfrm>
          <a:graphic>
            <a:graphicData uri="http://schemas.microsoft.com/office/drawing/2010/slicer">
              <sle:slicer xmlns:sle="http://schemas.microsoft.com/office/drawing/2010/slicer" name="CustomerRegion"/>
            </a:graphicData>
          </a:graphic>
        </xdr:graphicFrame>
      </mc:Choice>
      <mc:Fallback xmlns="">
        <xdr:sp macro="" textlink="">
          <xdr:nvSpPr>
            <xdr:cNvPr id="0" name=""/>
            <xdr:cNvSpPr>
              <a:spLocks noTextEdit="1"/>
            </xdr:cNvSpPr>
          </xdr:nvSpPr>
          <xdr:spPr>
            <a:xfrm>
              <a:off x="20154900" y="2581276"/>
              <a:ext cx="1466850" cy="1809749"/>
            </a:xfrm>
            <a:prstGeom prst="rect">
              <a:avLst/>
            </a:prstGeom>
            <a:solidFill>
              <a:prstClr val="white"/>
            </a:solidFill>
            <a:ln w="1">
              <a:solidFill>
                <a:prstClr val="green"/>
              </a:solidFill>
            </a:ln>
          </xdr:spPr>
          <xdr:txBody>
            <a:bodyPr vertOverflow="clip" horzOverflow="clip"/>
            <a:lstStyle/>
            <a:p>
              <a:r>
                <a:rPr lang="en-IN" sz="1100"/>
                <a:t>This shape represents a slicer. Slicers can be used in at least Excel 2010.
If the shape was modified in an earlier version of Excel, or if the workbook was saved in Excel 2003 or earlier, the slicer cannot be used.</a:t>
              </a:r>
            </a:p>
          </xdr:txBody>
        </xdr:sp>
      </mc:Fallback>
    </mc:AlternateContent>
    <xdr:clientData/>
  </xdr:twoCellAnchor>
  <xdr:twoCellAnchor>
    <xdr:from>
      <xdr:col>33</xdr:col>
      <xdr:colOff>628650</xdr:colOff>
      <xdr:row>12</xdr:row>
      <xdr:rowOff>85725</xdr:rowOff>
    </xdr:from>
    <xdr:to>
      <xdr:col>39</xdr:col>
      <xdr:colOff>609600</xdr:colOff>
      <xdr:row>26</xdr:row>
      <xdr:rowOff>161925</xdr:rowOff>
    </xdr:to>
    <xdr:graphicFrame macro="">
      <xdr:nvGraphicFramePr>
        <xdr:cNvPr id="9" name="Chart 8"/>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editAs="oneCell">
    <xdr:from>
      <xdr:col>39</xdr:col>
      <xdr:colOff>666750</xdr:colOff>
      <xdr:row>11</xdr:row>
      <xdr:rowOff>9525</xdr:rowOff>
    </xdr:from>
    <xdr:to>
      <xdr:col>44</xdr:col>
      <xdr:colOff>19050</xdr:colOff>
      <xdr:row>24</xdr:row>
      <xdr:rowOff>57150</xdr:rowOff>
    </xdr:to>
    <mc:AlternateContent xmlns:mc="http://schemas.openxmlformats.org/markup-compatibility/2006">
      <mc:Choice xmlns:a14="http://schemas.microsoft.com/office/drawing/2010/main" Requires="a14">
        <xdr:graphicFrame macro="">
          <xdr:nvGraphicFramePr>
            <xdr:cNvPr id="10" name="Category"/>
            <xdr:cNvGraphicFramePr/>
          </xdr:nvGraphicFramePr>
          <xdr:xfrm>
            <a:off x="0" y="0"/>
            <a:ext cx="0" cy="0"/>
          </xdr:xfrm>
          <a:graphic>
            <a:graphicData uri="http://schemas.microsoft.com/office/drawing/2010/slicer">
              <sle:slicer xmlns:sle="http://schemas.microsoft.com/office/drawing/2010/slicer" name="Category"/>
            </a:graphicData>
          </a:graphic>
        </xdr:graphicFrame>
      </mc:Choice>
      <mc:Fallback>
        <xdr:sp macro="" textlink="">
          <xdr:nvSpPr>
            <xdr:cNvPr id="0" name=""/>
            <xdr:cNvSpPr>
              <a:spLocks noTextEdit="1"/>
            </xdr:cNvSpPr>
          </xdr:nvSpPr>
          <xdr:spPr>
            <a:xfrm>
              <a:off x="27946350" y="2105025"/>
              <a:ext cx="1828800" cy="2524125"/>
            </a:xfrm>
            <a:prstGeom prst="rect">
              <a:avLst/>
            </a:prstGeom>
            <a:solidFill>
              <a:prstClr val="white"/>
            </a:solidFill>
            <a:ln w="1">
              <a:solidFill>
                <a:prstClr val="green"/>
              </a:solidFill>
            </a:ln>
          </xdr:spPr>
          <xdr:txBody>
            <a:bodyPr vertOverflow="clip" horzOverflow="clip"/>
            <a:lstStyle/>
            <a:p>
              <a:r>
                <a:rPr lang="en-IN" sz="1100"/>
                <a:t>This shape represents a slicer. Slicers can be used in at least Excel 2010.
If the shape was modified in an earlier version of Excel, or if the workbook was saved in Excel 2003 or earlier, the slicer cannot be used.</a:t>
              </a:r>
            </a:p>
          </xdr:txBody>
        </xdr:sp>
      </mc:Fallback>
    </mc:AlternateContent>
    <xdr:clientData/>
  </xdr:twoCellAnchor>
</xdr:wsDr>
</file>

<file path=xl/drawings/drawing3.xml><?xml version="1.0" encoding="utf-8"?>
<xdr:wsDr xmlns:xdr="http://schemas.openxmlformats.org/drawingml/2006/spreadsheetDrawing" xmlns:a="http://schemas.openxmlformats.org/drawingml/2006/main">
  <xdr:twoCellAnchor>
    <xdr:from>
      <xdr:col>0</xdr:col>
      <xdr:colOff>1</xdr:colOff>
      <xdr:row>0</xdr:row>
      <xdr:rowOff>0</xdr:rowOff>
    </xdr:from>
    <xdr:to>
      <xdr:col>11</xdr:col>
      <xdr:colOff>114301</xdr:colOff>
      <xdr:row>13</xdr:row>
      <xdr:rowOff>66675</xdr:rowOff>
    </xdr:to>
    <xdr:graphicFrame macro="">
      <xdr:nvGraphicFramePr>
        <xdr:cNvPr id="2" name="Chart 1"/>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0</xdr:col>
      <xdr:colOff>57150</xdr:colOff>
      <xdr:row>13</xdr:row>
      <xdr:rowOff>95250</xdr:rowOff>
    </xdr:from>
    <xdr:to>
      <xdr:col>5</xdr:col>
      <xdr:colOff>171450</xdr:colOff>
      <xdr:row>24</xdr:row>
      <xdr:rowOff>114300</xdr:rowOff>
    </xdr:to>
    <xdr:graphicFrame macro="">
      <xdr:nvGraphicFramePr>
        <xdr:cNvPr id="3" name="Chart 2"/>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5</xdr:col>
      <xdr:colOff>152400</xdr:colOff>
      <xdr:row>13</xdr:row>
      <xdr:rowOff>95250</xdr:rowOff>
    </xdr:from>
    <xdr:to>
      <xdr:col>11</xdr:col>
      <xdr:colOff>104775</xdr:colOff>
      <xdr:row>24</xdr:row>
      <xdr:rowOff>171450</xdr:rowOff>
    </xdr:to>
    <xdr:graphicFrame macro="">
      <xdr:nvGraphicFramePr>
        <xdr:cNvPr id="4" name="Chart 3"/>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11</xdr:col>
      <xdr:colOff>161924</xdr:colOff>
      <xdr:row>0</xdr:row>
      <xdr:rowOff>28574</xdr:rowOff>
    </xdr:from>
    <xdr:to>
      <xdr:col>17</xdr:col>
      <xdr:colOff>400049</xdr:colOff>
      <xdr:row>12</xdr:row>
      <xdr:rowOff>114299</xdr:rowOff>
    </xdr:to>
    <xdr:graphicFrame macro="">
      <xdr:nvGraphicFramePr>
        <xdr:cNvPr id="5" name="Chart 4"/>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11</xdr:col>
      <xdr:colOff>142875</xdr:colOff>
      <xdr:row>12</xdr:row>
      <xdr:rowOff>171450</xdr:rowOff>
    </xdr:from>
    <xdr:to>
      <xdr:col>17</xdr:col>
      <xdr:colOff>342900</xdr:colOff>
      <xdr:row>24</xdr:row>
      <xdr:rowOff>114300</xdr:rowOff>
    </xdr:to>
    <xdr:graphicFrame macro="">
      <xdr:nvGraphicFramePr>
        <xdr:cNvPr id="7" name="Chart 6"/>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editAs="oneCell">
    <xdr:from>
      <xdr:col>16</xdr:col>
      <xdr:colOff>123825</xdr:colOff>
      <xdr:row>15</xdr:row>
      <xdr:rowOff>38100</xdr:rowOff>
    </xdr:from>
    <xdr:to>
      <xdr:col>18</xdr:col>
      <xdr:colOff>9525</xdr:colOff>
      <xdr:row>22</xdr:row>
      <xdr:rowOff>76200</xdr:rowOff>
    </xdr:to>
    <mc:AlternateContent xmlns:mc="http://schemas.openxmlformats.org/markup-compatibility/2006">
      <mc:Choice xmlns:a14="http://schemas.microsoft.com/office/drawing/2010/main" Requires="a14">
        <xdr:graphicFrame macro="">
          <xdr:nvGraphicFramePr>
            <xdr:cNvPr id="8" name="CustomerRegion 1"/>
            <xdr:cNvGraphicFramePr/>
          </xdr:nvGraphicFramePr>
          <xdr:xfrm>
            <a:off x="0" y="0"/>
            <a:ext cx="0" cy="0"/>
          </xdr:xfrm>
          <a:graphic>
            <a:graphicData uri="http://schemas.microsoft.com/office/drawing/2010/slicer">
              <sle:slicer xmlns:sle="http://schemas.microsoft.com/office/drawing/2010/slicer" name="CustomerRegion 1"/>
            </a:graphicData>
          </a:graphic>
        </xdr:graphicFrame>
      </mc:Choice>
      <mc:Fallback>
        <xdr:sp macro="" textlink="">
          <xdr:nvSpPr>
            <xdr:cNvPr id="0" name=""/>
            <xdr:cNvSpPr>
              <a:spLocks noTextEdit="1"/>
            </xdr:cNvSpPr>
          </xdr:nvSpPr>
          <xdr:spPr>
            <a:xfrm>
              <a:off x="9877425" y="2895600"/>
              <a:ext cx="1104900" cy="1371600"/>
            </a:xfrm>
            <a:prstGeom prst="rect">
              <a:avLst/>
            </a:prstGeom>
            <a:solidFill>
              <a:prstClr val="white"/>
            </a:solidFill>
            <a:ln w="1">
              <a:solidFill>
                <a:prstClr val="green"/>
              </a:solidFill>
            </a:ln>
          </xdr:spPr>
          <xdr:txBody>
            <a:bodyPr vertOverflow="clip" horzOverflow="clip"/>
            <a:lstStyle/>
            <a:p>
              <a:r>
                <a:rPr lang="en-IN" sz="1100"/>
                <a:t>This shape represents a slicer. Slicers can be used in at least Excel 2010.
If the shape was modified in an earlier version of Excel, or if the workbook was saved in Excel 2003 or earlier, the slicer cannot be used.</a:t>
              </a:r>
            </a:p>
          </xdr:txBody>
        </xdr:sp>
      </mc:Fallback>
    </mc:AlternateContent>
    <xdr:clientData/>
  </xdr:twoCellAnchor>
  <xdr:twoCellAnchor>
    <xdr:from>
      <xdr:col>9</xdr:col>
      <xdr:colOff>285750</xdr:colOff>
      <xdr:row>25</xdr:row>
      <xdr:rowOff>0</xdr:rowOff>
    </xdr:from>
    <xdr:to>
      <xdr:col>17</xdr:col>
      <xdr:colOff>28575</xdr:colOff>
      <xdr:row>39</xdr:row>
      <xdr:rowOff>76200</xdr:rowOff>
    </xdr:to>
    <xdr:graphicFrame macro="">
      <xdr:nvGraphicFramePr>
        <xdr:cNvPr id="9" name="Chart 8"/>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editAs="oneCell">
    <xdr:from>
      <xdr:col>16</xdr:col>
      <xdr:colOff>114300</xdr:colOff>
      <xdr:row>27</xdr:row>
      <xdr:rowOff>76200</xdr:rowOff>
    </xdr:from>
    <xdr:to>
      <xdr:col>18</xdr:col>
      <xdr:colOff>419100</xdr:colOff>
      <xdr:row>37</xdr:row>
      <xdr:rowOff>85725</xdr:rowOff>
    </xdr:to>
    <mc:AlternateContent xmlns:mc="http://schemas.openxmlformats.org/markup-compatibility/2006" xmlns:a14="http://schemas.microsoft.com/office/drawing/2010/main">
      <mc:Choice Requires="a14">
        <xdr:graphicFrame macro="">
          <xdr:nvGraphicFramePr>
            <xdr:cNvPr id="10" name="Category 1"/>
            <xdr:cNvGraphicFramePr/>
          </xdr:nvGraphicFramePr>
          <xdr:xfrm>
            <a:off x="0" y="0"/>
            <a:ext cx="0" cy="0"/>
          </xdr:xfrm>
          <a:graphic>
            <a:graphicData uri="http://schemas.microsoft.com/office/drawing/2010/slicer">
              <sle:slicer xmlns:sle="http://schemas.microsoft.com/office/drawing/2010/slicer" name="Category 1"/>
            </a:graphicData>
          </a:graphic>
        </xdr:graphicFrame>
      </mc:Choice>
      <mc:Fallback xmlns="">
        <xdr:sp macro="" textlink="">
          <xdr:nvSpPr>
            <xdr:cNvPr id="0" name=""/>
            <xdr:cNvSpPr>
              <a:spLocks noTextEdit="1"/>
            </xdr:cNvSpPr>
          </xdr:nvSpPr>
          <xdr:spPr>
            <a:xfrm>
              <a:off x="9867900" y="5219700"/>
              <a:ext cx="1524000" cy="1914525"/>
            </a:xfrm>
            <a:prstGeom prst="rect">
              <a:avLst/>
            </a:prstGeom>
            <a:solidFill>
              <a:prstClr val="white"/>
            </a:solidFill>
            <a:ln w="1">
              <a:solidFill>
                <a:prstClr val="green"/>
              </a:solidFill>
            </a:ln>
          </xdr:spPr>
          <xdr:txBody>
            <a:bodyPr vertOverflow="clip" horzOverflow="clip"/>
            <a:lstStyle/>
            <a:p>
              <a:r>
                <a:rPr lang="en-IN" sz="1100"/>
                <a:t>This shape represents a slicer. Slicers can be used in at least Excel 2010.
If the shape was modified in an earlier version of Excel, or if the workbook was saved in Excel 2003 or earlier, the slicer cannot be used.</a:t>
              </a:r>
            </a:p>
          </xdr:txBody>
        </xdr:sp>
      </mc:Fallback>
    </mc:AlternateContent>
    <xdr:clientData/>
  </xdr:twoCellAnchor>
  <xdr:twoCellAnchor>
    <xdr:from>
      <xdr:col>0</xdr:col>
      <xdr:colOff>0</xdr:colOff>
      <xdr:row>24</xdr:row>
      <xdr:rowOff>180975</xdr:rowOff>
    </xdr:from>
    <xdr:to>
      <xdr:col>9</xdr:col>
      <xdr:colOff>295274</xdr:colOff>
      <xdr:row>39</xdr:row>
      <xdr:rowOff>38099</xdr:rowOff>
    </xdr:to>
    <xdr:graphicFrame macro="">
      <xdr:nvGraphicFramePr>
        <xdr:cNvPr id="11" name="Chart 10"/>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r:id="rId1" refreshedBy="ELCOT" refreshedDate="45962.727934606482" createdVersion="4" refreshedVersion="4" minRefreshableVersion="3" recordCount="500">
  <cacheSource type="worksheet">
    <worksheetSource ref="A1:M501" sheet="data"/>
  </cacheSource>
  <cacheFields count="13">
    <cacheField name="OrderID" numFmtId="0">
      <sharedItems/>
    </cacheField>
    <cacheField name="Product" numFmtId="0">
      <sharedItems count="30">
        <s v="Biography"/>
        <s v="Comics"/>
        <s v="Jacket"/>
        <s v="Dress"/>
        <s v="Fiction"/>
        <s v="Jeans"/>
        <s v="History"/>
        <s v="Vase"/>
        <s v="Wall Art"/>
        <s v="Clock"/>
        <s v="Smartphone"/>
        <s v="Wallet"/>
        <s v="Action Figure"/>
        <s v="Board Game"/>
        <s v="Belt"/>
        <s v="Lamp"/>
        <s v="Smartwatch"/>
        <s v="T-shirt"/>
        <s v="Backpack"/>
        <s v="Cushion"/>
        <s v="Camera"/>
        <s v="Lego Set"/>
        <s v="Headphones"/>
        <s v="Watch"/>
        <s v="Puzzle"/>
        <s v="Sunglasses"/>
        <s v="Science"/>
        <s v="Sweater"/>
        <s v="Laptop"/>
        <s v="Doll"/>
      </sharedItems>
    </cacheField>
    <cacheField name="Category" numFmtId="0">
      <sharedItems count="6">
        <s v="Books"/>
        <s v="Clothing"/>
        <s v="Home Decor"/>
        <s v="Electronics"/>
        <s v="Accessories"/>
        <s v="Toys"/>
      </sharedItems>
    </cacheField>
    <cacheField name="Quantity" numFmtId="0">
      <sharedItems containsSemiMixedTypes="0" containsString="0" containsNumber="1" containsInteger="1" minValue="1" maxValue="9"/>
    </cacheField>
    <cacheField name="UnitPrice" numFmtId="0">
      <sharedItems containsSemiMixedTypes="0" containsString="0" containsNumber="1" minValue="6.34" maxValue="499.86"/>
    </cacheField>
    <cacheField name="TotalAmount" numFmtId="0">
      <sharedItems containsSemiMixedTypes="0" containsString="0" containsNumber="1" minValue="10.75" maxValue="4445.55" count="498">
        <n v="2795.03"/>
        <n v="411.15"/>
        <n v="1361.52"/>
        <n v="197.52"/>
        <n v="190"/>
        <n v="51"/>
        <n v="582.96"/>
        <n v="1292.01"/>
        <n v="1885.56"/>
        <n v="116.1"/>
        <n v="2148.65"/>
        <n v="133.1"/>
        <n v="430.9"/>
        <n v="123"/>
        <n v="401.2"/>
        <n v="1839.67"/>
        <n v="987"/>
        <n v="1477.2"/>
        <n v="1364.94"/>
        <n v="4441.59"/>
        <n v="61.84"/>
        <n v="357.11"/>
        <n v="2290.96"/>
        <n v="2821.77"/>
        <n v="1112.58"/>
        <n v="893.07"/>
        <n v="716.25"/>
        <n v="1144.77"/>
        <n v="175.07"/>
        <n v="61.68"/>
        <n v="1135.28"/>
        <n v="642"/>
        <n v="1886.84"/>
        <n v="628.12"/>
        <n v="1787.28"/>
        <n v="3139.99"/>
        <n v="117.83"/>
        <n v="718.08"/>
        <n v="1546.92"/>
        <n v="1738.8"/>
        <n v="679.74"/>
        <n v="740"/>
        <n v="508.8"/>
        <n v="78.3"/>
        <n v="488.42"/>
        <n v="879.05"/>
        <n v="1236.4000000000001"/>
        <n v="2363.9699999999998"/>
        <n v="365.47"/>
        <n v="1967.16"/>
        <n v="79.61"/>
        <n v="892.47"/>
        <n v="1217.0999999999999"/>
        <n v="639.16999999999996"/>
        <n v="3280.76"/>
        <n v="550.53"/>
        <n v="354.39"/>
        <n v="2346.5700000000002"/>
        <n v="51.09"/>
        <n v="2209.5"/>
        <n v="1055.04"/>
        <n v="1776.44"/>
        <n v="3149.92"/>
        <n v="567.84"/>
        <n v="67.59"/>
        <n v="490.76"/>
        <n v="828.72"/>
        <n v="467.6"/>
        <n v="3402.96"/>
        <n v="273.56"/>
        <n v="817.68"/>
        <n v="2937.3"/>
        <n v="356.58"/>
        <n v="101.65"/>
        <n v="1156.29"/>
        <n v="2211.65"/>
        <n v="1349.76"/>
        <n v="1470.78"/>
        <n v="497.5"/>
        <n v="266.7"/>
        <n v="2097.1799999999998"/>
        <n v="867.28"/>
        <n v="261.62"/>
        <n v="425.09"/>
        <n v="1052.31"/>
        <n v="395.46"/>
        <n v="1772.75"/>
        <n v="2819.76"/>
        <n v="130.69"/>
        <n v="2363.5500000000002"/>
        <n v="1784.76"/>
        <n v="930.72"/>
        <n v="1156.75"/>
        <n v="834.48"/>
        <n v="2915.36"/>
        <n v="1195.8599999999999"/>
        <n v="904.26"/>
        <n v="1519.14"/>
        <n v="223.96"/>
        <n v="2152.3200000000002"/>
        <n v="1604.7"/>
        <n v="1539"/>
        <n v="1140.3900000000001"/>
        <n v="159.15"/>
        <n v="1196.8499999999999"/>
        <n v="1011.3"/>
        <n v="761.72"/>
        <n v="271.99"/>
        <n v="3306.8"/>
        <n v="1159.44"/>
        <n v="231.84"/>
        <n v="1233.33"/>
        <n v="48.58"/>
        <n v="281.68"/>
        <n v="268.08"/>
        <n v="887.15"/>
        <n v="2950.88"/>
        <n v="2486.25"/>
        <n v="3235.04"/>
        <n v="756.6"/>
        <n v="3473.76"/>
        <n v="2636.76"/>
        <n v="1727.82"/>
        <n v="31.48"/>
        <n v="150.57"/>
        <n v="1155.4000000000001"/>
        <n v="251.95"/>
        <n v="1351.6"/>
        <n v="2742.18"/>
        <n v="1248.7"/>
        <n v="1849.15"/>
        <n v="968.96"/>
        <n v="55.06"/>
        <n v="328.16"/>
        <n v="90.54"/>
        <n v="878.25"/>
        <n v="488.64"/>
        <n v="713.44"/>
        <n v="1169.07"/>
        <n v="180.12"/>
        <n v="473.98"/>
        <n v="505.44"/>
        <n v="881.31"/>
        <n v="46.03"/>
        <n v="2409"/>
        <n v="132.4"/>
        <n v="1116.6400000000001"/>
        <n v="1010.88"/>
        <n v="315.64"/>
        <n v="192.5"/>
        <n v="1602.32"/>
        <n v="711.5"/>
        <n v="1439.28"/>
        <n v="2436.65"/>
        <n v="126"/>
        <n v="1213.52"/>
        <n v="1236.48"/>
        <n v="1543.2"/>
        <n v="3511.6"/>
        <n v="1459.99"/>
        <n v="191.49"/>
        <n v="4365.99"/>
        <n v="237"/>
        <n v="11.77"/>
        <n v="2499.3000000000002"/>
        <n v="2699.55"/>
        <n v="382.32"/>
        <n v="477.26"/>
        <n v="337.49"/>
        <n v="127.84"/>
        <n v="2323.8000000000002"/>
        <n v="278.19"/>
        <n v="2673.27"/>
        <n v="2651.53"/>
        <n v="1356.18"/>
        <n v="1836"/>
        <n v="1357.68"/>
        <n v="392.91"/>
        <n v="1050.99"/>
        <n v="3374.72"/>
        <n v="929.08"/>
        <n v="884.85"/>
        <n v="812.85"/>
        <n v="2102.1"/>
        <n v="1313.37"/>
        <n v="605.91999999999996"/>
        <n v="443.1"/>
        <n v="293.45999999999998"/>
        <n v="137.46"/>
        <n v="2188.5300000000002"/>
        <n v="142.05000000000001"/>
        <n v="434.52"/>
        <n v="731.28"/>
        <n v="2893.28"/>
        <n v="567.12"/>
        <n v="1807.96"/>
        <n v="452.94"/>
        <n v="3330.18"/>
        <n v="1151.01"/>
        <n v="4012.29"/>
        <n v="723.12"/>
        <n v="1772.94"/>
        <n v="577.47"/>
        <n v="251.9"/>
        <n v="1829.16"/>
        <n v="699.24"/>
        <n v="1704.6"/>
        <n v="2953.65"/>
        <n v="2800"/>
        <n v="1211.6400000000001"/>
        <n v="2925.96"/>
        <n v="2015.88"/>
        <n v="1927.44"/>
        <n v="2141.52"/>
        <n v="499.96"/>
        <n v="1756.26"/>
        <n v="91.95"/>
        <n v="181.85"/>
        <n v="3247.12"/>
        <n v="31.7"/>
        <n v="2440.16"/>
        <n v="2080.8000000000002"/>
        <n v="3964.08"/>
        <n v="113.76"/>
        <n v="172.86"/>
        <n v="3388.5"/>
        <n v="258.93"/>
        <n v="646.08000000000004"/>
        <n v="818.44"/>
        <n v="941.79"/>
        <n v="119.95"/>
        <n v="2268.5"/>
        <n v="2821.32"/>
        <n v="2787.12"/>
        <n v="269.06"/>
        <n v="1995.44"/>
        <n v="1951.95"/>
        <n v="1148.4000000000001"/>
        <n v="55.94"/>
        <n v="924.88"/>
        <n v="633.67999999999995"/>
        <n v="22.08"/>
        <n v="1094.5999999999999"/>
        <n v="379.56"/>
        <n v="2043.28"/>
        <n v="3493.6"/>
        <n v="1839.12"/>
        <n v="2619.44"/>
        <n v="259.62"/>
        <n v="2734.74"/>
        <n v="434.65"/>
        <n v="1524.69"/>
        <n v="893.04"/>
        <n v="854.6"/>
        <n v="1519.2"/>
        <n v="1084.04"/>
        <n v="471.04"/>
        <n v="295.60000000000002"/>
        <n v="383.61"/>
        <n v="849.48"/>
        <n v="683.7"/>
        <n v="93.13"/>
        <n v="280.87"/>
        <n v="2028.72"/>
        <n v="1513.82"/>
        <n v="23.09"/>
        <n v="2366.3200000000002"/>
        <n v="529.14"/>
        <n v="502.04"/>
        <n v="380.2"/>
        <n v="569.37"/>
        <n v="17.57"/>
        <n v="147.28"/>
        <n v="816.64"/>
        <n v="1037.6400000000001"/>
        <n v="984.33"/>
        <n v="2900.16"/>
        <n v="1889.92"/>
        <n v="3140.83"/>
        <n v="2584.89"/>
        <n v="880.83"/>
        <n v="911.52"/>
        <n v="369.42"/>
        <n v="1255.8"/>
        <n v="1987.92"/>
        <n v="1949.6"/>
        <n v="2806.51"/>
        <n v="138"/>
        <n v="1193.8499999999999"/>
        <n v="281.92"/>
        <n v="2745.48"/>
        <n v="1265.94"/>
        <n v="2261.25"/>
        <n v="52.2"/>
        <n v="1232.28"/>
        <n v="604.52"/>
        <n v="212.29"/>
        <n v="174.62"/>
        <n v="1517.8"/>
        <n v="2096.75"/>
        <n v="1443.72"/>
        <n v="402.68"/>
        <n v="2205.7199999999998"/>
        <n v="340.8"/>
        <n v="627.1"/>
        <n v="379.71"/>
        <n v="3185.46"/>
        <n v="1142.73"/>
        <n v="419.13"/>
        <n v="482.19"/>
        <n v="72.73"/>
        <n v="1841.28"/>
        <n v="3043.2"/>
        <n v="331.1"/>
        <n v="2942.34"/>
        <n v="4250.79"/>
        <n v="3497.76"/>
        <n v="2749.02"/>
        <n v="1834.3"/>
        <n v="427.54"/>
        <n v="1692.2"/>
        <n v="163.24"/>
        <n v="847.62"/>
        <n v="1337.4"/>
        <n v="261.45"/>
        <n v="1585.64"/>
        <n v="524.96"/>
        <n v="1307.0999999999999"/>
        <n v="677.67"/>
        <n v="67.900000000000006"/>
        <n v="1212.45"/>
        <n v="3467.7"/>
        <n v="1845.55"/>
        <n v="708.96"/>
        <n v="1436.8"/>
        <n v="455.62"/>
        <n v="198.86"/>
        <n v="246.3"/>
        <n v="3541.44"/>
        <n v="175.36"/>
        <n v="3773.2"/>
        <n v="2080.85"/>
        <n v="390.24"/>
        <n v="1426.48"/>
        <n v="3097.29"/>
        <n v="91.08"/>
        <n v="496.28"/>
        <n v="348.3"/>
        <n v="2686.59"/>
        <n v="462.86"/>
        <n v="242.73"/>
        <n v="414.36"/>
        <n v="2795.04"/>
        <n v="2478.9"/>
        <n v="1239.6600000000001"/>
        <n v="439.92"/>
        <n v="1011.36"/>
        <n v="4188.51"/>
        <n v="591.96"/>
        <n v="175.32"/>
        <n v="1865.2"/>
        <n v="833.82"/>
        <n v="294.16000000000003"/>
        <n v="2859.75"/>
        <n v="3282"/>
        <n v="348.46"/>
        <n v="278.7"/>
        <n v="154.32"/>
        <n v="2134.44"/>
        <n v="1874.1"/>
        <n v="1302.2"/>
        <n v="262.36"/>
        <n v="389.97"/>
        <n v="863.84"/>
        <n v="2896.81"/>
        <n v="775.1"/>
        <n v="1427.04"/>
        <n v="2276.0500000000002"/>
        <n v="2287.5"/>
        <n v="163.77000000000001"/>
        <n v="220.98"/>
        <n v="3230.01"/>
        <n v="670.64"/>
        <n v="405.3"/>
        <n v="55.36"/>
        <n v="2281.8000000000002"/>
        <n v="1597.16"/>
        <n v="1125.6400000000001"/>
        <n v="1758.48"/>
        <n v="1755.68"/>
        <n v="10.75"/>
        <n v="896.22"/>
        <n v="476.56"/>
        <n v="2255.04"/>
        <n v="2588.4"/>
        <n v="1865.94"/>
        <n v="78.72"/>
        <n v="48.49"/>
        <n v="413.13"/>
        <n v="494.83"/>
        <n v="823.22"/>
        <n v="476.02"/>
        <n v="1796.46"/>
        <n v="935.84"/>
        <n v="692.12"/>
        <n v="2324.77"/>
        <n v="2457.36"/>
        <n v="75.510000000000005"/>
        <n v="69.739999999999995"/>
        <n v="340.53"/>
        <n v="1493.68"/>
        <n v="186.27"/>
        <n v="2166"/>
        <n v="3900.16"/>
        <n v="342.54"/>
        <n v="421.02"/>
        <n v="1824.75"/>
        <n v="1264.96"/>
        <n v="1019.6"/>
        <n v="874.32"/>
        <n v="1749.36"/>
        <n v="1096.68"/>
        <n v="3350.56"/>
        <n v="1819.88"/>
        <n v="189.16"/>
        <n v="2616.12"/>
        <n v="2334.48"/>
        <n v="601.58000000000004"/>
        <n v="859.4"/>
        <n v="1610.8"/>
        <n v="671.4"/>
        <n v="1964.61"/>
        <n v="130"/>
        <n v="2742.66"/>
        <n v="1959.95"/>
        <n v="641.34"/>
        <n v="986.82"/>
        <n v="65.44"/>
        <n v="280.7"/>
        <n v="1973.52"/>
        <n v="329.9"/>
        <n v="2081.7600000000002"/>
        <n v="444.78"/>
        <n v="1415.28"/>
        <n v="597.66"/>
        <n v="2365.58"/>
        <n v="788.28"/>
        <n v="251.7"/>
        <n v="3083.36"/>
        <n v="1359.48"/>
        <n v="1453.55"/>
        <n v="999.42"/>
        <n v="3905.01"/>
        <n v="448.11"/>
        <n v="1308"/>
        <n v="1331.4"/>
        <n v="1458.09"/>
        <n v="64.5"/>
        <n v="1507.95"/>
        <n v="966.55"/>
        <n v="122.58"/>
        <n v="247.38"/>
        <n v="468.86"/>
        <n v="2095.6"/>
        <n v="634"/>
        <n v="2852.01"/>
        <n v="509.55"/>
        <n v="2961.63"/>
        <n v="607.86"/>
        <n v="528.4"/>
        <n v="877.68"/>
        <n v="405.9"/>
        <n v="2372.67"/>
        <n v="1058.1199999999999"/>
        <n v="3853.2"/>
        <n v="1664.16"/>
        <n v="2245.6"/>
        <n v="3581.1"/>
        <n v="1667.68"/>
        <n v="122.25"/>
        <n v="734.64"/>
        <n v="2348.08"/>
        <n v="316.39999999999998"/>
        <n v="478.16"/>
        <n v="1613.9"/>
        <n v="1786.5"/>
        <n v="4445.55"/>
        <n v="1697.7"/>
        <n v="2545.48"/>
        <n v="910.77"/>
        <n v="189.6"/>
        <n v="610.77"/>
        <n v="2794.41"/>
        <n v="672.9"/>
        <n v="696.1"/>
        <n v="715.56"/>
        <n v="2018.4"/>
        <n v="369.32"/>
      </sharedItems>
    </cacheField>
    <cacheField name="Amount rounded off" numFmtId="0">
      <sharedItems containsSemiMixedTypes="0" containsString="0" containsNumber="1" containsInteger="1" minValue="11" maxValue="4446" count="450">
        <n v="2796"/>
        <n v="412"/>
        <n v="1362"/>
        <n v="198"/>
        <n v="190"/>
        <n v="51"/>
        <n v="583"/>
        <n v="1293"/>
        <n v="1886"/>
        <n v="117"/>
        <n v="2149"/>
        <n v="134"/>
        <n v="431"/>
        <n v="123"/>
        <n v="402"/>
        <n v="1840"/>
        <n v="987"/>
        <n v="1478"/>
        <n v="1365"/>
        <n v="4442"/>
        <n v="62"/>
        <n v="358"/>
        <n v="2291"/>
        <n v="2822"/>
        <n v="1113"/>
        <n v="894"/>
        <n v="717"/>
        <n v="1145"/>
        <n v="176"/>
        <n v="1136"/>
        <n v="642"/>
        <n v="1887"/>
        <n v="629"/>
        <n v="1788"/>
        <n v="3140"/>
        <n v="118"/>
        <n v="719"/>
        <n v="1547"/>
        <n v="1739"/>
        <n v="680"/>
        <n v="740"/>
        <n v="509"/>
        <n v="79"/>
        <n v="489"/>
        <n v="880"/>
        <n v="1237"/>
        <n v="2364"/>
        <n v="366"/>
        <n v="1968"/>
        <n v="80"/>
        <n v="893"/>
        <n v="1218"/>
        <n v="640"/>
        <n v="3281"/>
        <n v="551"/>
        <n v="355"/>
        <n v="2347"/>
        <n v="52"/>
        <n v="2210"/>
        <n v="1056"/>
        <n v="1777"/>
        <n v="3150"/>
        <n v="568"/>
        <n v="68"/>
        <n v="491"/>
        <n v="829"/>
        <n v="468"/>
        <n v="3403"/>
        <n v="274"/>
        <n v="818"/>
        <n v="2938"/>
        <n v="357"/>
        <n v="102"/>
        <n v="1157"/>
        <n v="2212"/>
        <n v="1350"/>
        <n v="1471"/>
        <n v="498"/>
        <n v="267"/>
        <n v="2098"/>
        <n v="868"/>
        <n v="262"/>
        <n v="426"/>
        <n v="1053"/>
        <n v="396"/>
        <n v="1773"/>
        <n v="2820"/>
        <n v="131"/>
        <n v="1785"/>
        <n v="931"/>
        <n v="835"/>
        <n v="2916"/>
        <n v="1196"/>
        <n v="905"/>
        <n v="1520"/>
        <n v="224"/>
        <n v="2153"/>
        <n v="1605"/>
        <n v="1539"/>
        <n v="1141"/>
        <n v="160"/>
        <n v="1197"/>
        <n v="1012"/>
        <n v="762"/>
        <n v="272"/>
        <n v="3307"/>
        <n v="1160"/>
        <n v="232"/>
        <n v="1234"/>
        <n v="49"/>
        <n v="282"/>
        <n v="269"/>
        <n v="888"/>
        <n v="2951"/>
        <n v="2487"/>
        <n v="3236"/>
        <n v="757"/>
        <n v="3474"/>
        <n v="2637"/>
        <n v="1728"/>
        <n v="32"/>
        <n v="151"/>
        <n v="1156"/>
        <n v="252"/>
        <n v="1352"/>
        <n v="2743"/>
        <n v="1249"/>
        <n v="1850"/>
        <n v="969"/>
        <n v="56"/>
        <n v="329"/>
        <n v="91"/>
        <n v="879"/>
        <n v="714"/>
        <n v="1170"/>
        <n v="181"/>
        <n v="474"/>
        <n v="506"/>
        <n v="882"/>
        <n v="47"/>
        <n v="2409"/>
        <n v="133"/>
        <n v="1117"/>
        <n v="1011"/>
        <n v="316"/>
        <n v="193"/>
        <n v="1603"/>
        <n v="712"/>
        <n v="1440"/>
        <n v="2437"/>
        <n v="126"/>
        <n v="1214"/>
        <n v="1544"/>
        <n v="3512"/>
        <n v="1460"/>
        <n v="192"/>
        <n v="4366"/>
        <n v="237"/>
        <n v="12"/>
        <n v="2500"/>
        <n v="2700"/>
        <n v="383"/>
        <n v="478"/>
        <n v="338"/>
        <n v="128"/>
        <n v="2324"/>
        <n v="279"/>
        <n v="2674"/>
        <n v="2652"/>
        <n v="1357"/>
        <n v="1836"/>
        <n v="1358"/>
        <n v="393"/>
        <n v="1051"/>
        <n v="3375"/>
        <n v="930"/>
        <n v="885"/>
        <n v="813"/>
        <n v="2103"/>
        <n v="1314"/>
        <n v="606"/>
        <n v="444"/>
        <n v="294"/>
        <n v="138"/>
        <n v="2189"/>
        <n v="143"/>
        <n v="435"/>
        <n v="732"/>
        <n v="2894"/>
        <n v="1808"/>
        <n v="453"/>
        <n v="3331"/>
        <n v="1152"/>
        <n v="4013"/>
        <n v="724"/>
        <n v="578"/>
        <n v="1830"/>
        <n v="700"/>
        <n v="1705"/>
        <n v="2954"/>
        <n v="2800"/>
        <n v="1212"/>
        <n v="2926"/>
        <n v="2016"/>
        <n v="1928"/>
        <n v="2142"/>
        <n v="500"/>
        <n v="1757"/>
        <n v="92"/>
        <n v="182"/>
        <n v="3248"/>
        <n v="2441"/>
        <n v="2081"/>
        <n v="3965"/>
        <n v="114"/>
        <n v="173"/>
        <n v="3389"/>
        <n v="259"/>
        <n v="647"/>
        <n v="819"/>
        <n v="942"/>
        <n v="120"/>
        <n v="2269"/>
        <n v="2788"/>
        <n v="270"/>
        <n v="1996"/>
        <n v="1952"/>
        <n v="1149"/>
        <n v="925"/>
        <n v="634"/>
        <n v="23"/>
        <n v="1095"/>
        <n v="380"/>
        <n v="2044"/>
        <n v="3494"/>
        <n v="2620"/>
        <n v="260"/>
        <n v="2735"/>
        <n v="1525"/>
        <n v="855"/>
        <n v="1085"/>
        <n v="472"/>
        <n v="296"/>
        <n v="384"/>
        <n v="850"/>
        <n v="684"/>
        <n v="94"/>
        <n v="281"/>
        <n v="2029"/>
        <n v="1514"/>
        <n v="24"/>
        <n v="2367"/>
        <n v="530"/>
        <n v="503"/>
        <n v="381"/>
        <n v="570"/>
        <n v="18"/>
        <n v="148"/>
        <n v="817"/>
        <n v="1038"/>
        <n v="985"/>
        <n v="2901"/>
        <n v="1890"/>
        <n v="3141"/>
        <n v="2585"/>
        <n v="881"/>
        <n v="912"/>
        <n v="370"/>
        <n v="1256"/>
        <n v="1988"/>
        <n v="1950"/>
        <n v="2807"/>
        <n v="1194"/>
        <n v="2746"/>
        <n v="1266"/>
        <n v="2262"/>
        <n v="53"/>
        <n v="1233"/>
        <n v="605"/>
        <n v="213"/>
        <n v="175"/>
        <n v="1518"/>
        <n v="2097"/>
        <n v="1444"/>
        <n v="403"/>
        <n v="2206"/>
        <n v="341"/>
        <n v="628"/>
        <n v="3186"/>
        <n v="1143"/>
        <n v="420"/>
        <n v="483"/>
        <n v="73"/>
        <n v="1842"/>
        <n v="3044"/>
        <n v="332"/>
        <n v="2943"/>
        <n v="4251"/>
        <n v="3498"/>
        <n v="2750"/>
        <n v="1835"/>
        <n v="428"/>
        <n v="1693"/>
        <n v="164"/>
        <n v="848"/>
        <n v="1338"/>
        <n v="1586"/>
        <n v="525"/>
        <n v="1308"/>
        <n v="678"/>
        <n v="1213"/>
        <n v="3468"/>
        <n v="1846"/>
        <n v="709"/>
        <n v="1437"/>
        <n v="456"/>
        <n v="199"/>
        <n v="247"/>
        <n v="3542"/>
        <n v="3774"/>
        <n v="391"/>
        <n v="1427"/>
        <n v="3098"/>
        <n v="497"/>
        <n v="349"/>
        <n v="2687"/>
        <n v="463"/>
        <n v="243"/>
        <n v="415"/>
        <n v="2479"/>
        <n v="1240"/>
        <n v="440"/>
        <n v="4189"/>
        <n v="592"/>
        <n v="1866"/>
        <n v="834"/>
        <n v="295"/>
        <n v="2860"/>
        <n v="3282"/>
        <n v="155"/>
        <n v="2135"/>
        <n v="1875"/>
        <n v="1303"/>
        <n v="263"/>
        <n v="390"/>
        <n v="864"/>
        <n v="2897"/>
        <n v="776"/>
        <n v="1428"/>
        <n v="2277"/>
        <n v="2288"/>
        <n v="221"/>
        <n v="3231"/>
        <n v="671"/>
        <n v="406"/>
        <n v="2282"/>
        <n v="1598"/>
        <n v="1126"/>
        <n v="1759"/>
        <n v="1756"/>
        <n v="11"/>
        <n v="897"/>
        <n v="477"/>
        <n v="2256"/>
        <n v="2589"/>
        <n v="414"/>
        <n v="495"/>
        <n v="824"/>
        <n v="1797"/>
        <n v="936"/>
        <n v="693"/>
        <n v="2325"/>
        <n v="2458"/>
        <n v="76"/>
        <n v="70"/>
        <n v="1494"/>
        <n v="187"/>
        <n v="2166"/>
        <n v="3901"/>
        <n v="343"/>
        <n v="422"/>
        <n v="1825"/>
        <n v="1265"/>
        <n v="1020"/>
        <n v="875"/>
        <n v="1750"/>
        <n v="1097"/>
        <n v="3351"/>
        <n v="1820"/>
        <n v="2617"/>
        <n v="2335"/>
        <n v="602"/>
        <n v="860"/>
        <n v="1611"/>
        <n v="672"/>
        <n v="1965"/>
        <n v="130"/>
        <n v="1960"/>
        <n v="66"/>
        <n v="1974"/>
        <n v="330"/>
        <n v="2082"/>
        <n v="445"/>
        <n v="1416"/>
        <n v="598"/>
        <n v="2366"/>
        <n v="789"/>
        <n v="3084"/>
        <n v="1360"/>
        <n v="1454"/>
        <n v="1000"/>
        <n v="3906"/>
        <n v="449"/>
        <n v="1332"/>
        <n v="1459"/>
        <n v="65"/>
        <n v="1508"/>
        <n v="967"/>
        <n v="248"/>
        <n v="469"/>
        <n v="2096"/>
        <n v="2853"/>
        <n v="510"/>
        <n v="2962"/>
        <n v="608"/>
        <n v="529"/>
        <n v="878"/>
        <n v="2373"/>
        <n v="1059"/>
        <n v="3854"/>
        <n v="1665"/>
        <n v="2246"/>
        <n v="3582"/>
        <n v="1668"/>
        <n v="735"/>
        <n v="2349"/>
        <n v="317"/>
        <n v="479"/>
        <n v="1614"/>
        <n v="1787"/>
        <n v="4446"/>
        <n v="1698"/>
        <n v="2546"/>
        <n v="911"/>
        <n v="611"/>
        <n v="2795"/>
        <n v="673"/>
        <n v="697"/>
        <n v="716"/>
        <n v="2019"/>
      </sharedItems>
    </cacheField>
    <cacheField name="OrderDate" numFmtId="14">
      <sharedItems containsSemiMixedTypes="0" containsNonDate="0" containsDate="1" containsString="0" minDate="2023-01-03T00:00:00" maxDate="2025-09-26T00:00:00"/>
    </cacheField>
    <cacheField name="Order Day" numFmtId="0">
      <sharedItems count="7">
        <s v="Thursday"/>
        <s v="Wednesday"/>
        <s v="Sunday"/>
        <s v="Tuesday"/>
        <s v="Friday"/>
        <s v="Saturday"/>
        <s v="Monday"/>
      </sharedItems>
    </cacheField>
    <cacheField name="CustomerRegion" numFmtId="0">
      <sharedItems count="4">
        <s v="East"/>
        <s v="South"/>
        <s v="North"/>
        <s v="West"/>
      </sharedItems>
    </cacheField>
    <cacheField name="PaymentMethod" numFmtId="0">
      <sharedItems count="4">
        <s v="UPI"/>
        <s v="Credit Card"/>
        <s v="Cash on Delivery"/>
        <s v="PayPal"/>
      </sharedItems>
    </cacheField>
    <cacheField name="CustomerID" numFmtId="0">
      <sharedItems/>
    </cacheField>
    <cacheField name="sales" numFmtId="0">
      <sharedItems count="2">
        <s v="high"/>
        <s v="low"/>
      </sharedItems>
    </cacheField>
  </cacheFields>
  <extLst>
    <ext xmlns:x14="http://schemas.microsoft.com/office/spreadsheetml/2009/9/main" uri="{725AE2AE-9491-48be-B2B4-4EB974FC3084}">
      <x14:pivotCacheDefinition pivotCacheId="1"/>
    </ext>
  </extLst>
</pivotCacheDefinition>
</file>

<file path=xl/pivotCache/pivotCacheRecords1.xml><?xml version="1.0" encoding="utf-8"?>
<pivotCacheRecords xmlns="http://schemas.openxmlformats.org/spreadsheetml/2006/main" xmlns:r="http://schemas.openxmlformats.org/officeDocument/2006/relationships" count="500">
  <r>
    <s v="ORD0001"/>
    <x v="0"/>
    <x v="0"/>
    <n v="7"/>
    <n v="399.29"/>
    <x v="0"/>
    <x v="0"/>
    <d v="2023-09-28T00:00:00"/>
    <x v="0"/>
    <x v="0"/>
    <x v="0"/>
    <s v="CUST6191"/>
    <x v="0"/>
  </r>
  <r>
    <s v="ORD0002"/>
    <x v="1"/>
    <x v="0"/>
    <n v="5"/>
    <n v="82.23"/>
    <x v="1"/>
    <x v="1"/>
    <d v="2024-04-11T00:00:00"/>
    <x v="0"/>
    <x v="1"/>
    <x v="1"/>
    <s v="CUST5426"/>
    <x v="1"/>
  </r>
  <r>
    <s v="ORD0003"/>
    <x v="2"/>
    <x v="1"/>
    <n v="8"/>
    <n v="170.19"/>
    <x v="2"/>
    <x v="2"/>
    <d v="2025-05-21T00:00:00"/>
    <x v="1"/>
    <x v="1"/>
    <x v="0"/>
    <s v="CUST9322"/>
    <x v="1"/>
  </r>
  <r>
    <s v="ORD0004"/>
    <x v="3"/>
    <x v="1"/>
    <n v="6"/>
    <n v="32.92"/>
    <x v="3"/>
    <x v="3"/>
    <d v="2023-12-10T00:00:00"/>
    <x v="2"/>
    <x v="0"/>
    <x v="2"/>
    <s v="CUST7949"/>
    <x v="1"/>
  </r>
  <r>
    <s v="ORD0005"/>
    <x v="4"/>
    <x v="0"/>
    <n v="2"/>
    <n v="95"/>
    <x v="4"/>
    <x v="4"/>
    <d v="2023-10-04T00:00:00"/>
    <x v="1"/>
    <x v="2"/>
    <x v="1"/>
    <s v="CUST2184"/>
    <x v="1"/>
  </r>
  <r>
    <s v="ORD0006"/>
    <x v="5"/>
    <x v="1"/>
    <n v="6"/>
    <n v="8.5"/>
    <x v="5"/>
    <x v="5"/>
    <d v="2025-05-06T00:00:00"/>
    <x v="3"/>
    <x v="1"/>
    <x v="1"/>
    <s v="CUST9666"/>
    <x v="1"/>
  </r>
  <r>
    <s v="ORD0007"/>
    <x v="4"/>
    <x v="0"/>
    <n v="3"/>
    <n v="194.32"/>
    <x v="6"/>
    <x v="6"/>
    <d v="2023-09-01T00:00:00"/>
    <x v="4"/>
    <x v="2"/>
    <x v="3"/>
    <s v="CUST2528"/>
    <x v="1"/>
  </r>
  <r>
    <s v="ORD0008"/>
    <x v="6"/>
    <x v="0"/>
    <n v="3"/>
    <n v="430.67"/>
    <x v="7"/>
    <x v="7"/>
    <d v="2024-10-08T00:00:00"/>
    <x v="3"/>
    <x v="2"/>
    <x v="2"/>
    <s v="CUST6393"/>
    <x v="1"/>
  </r>
  <r>
    <s v="ORD0009"/>
    <x v="7"/>
    <x v="2"/>
    <n v="4"/>
    <n v="471.39"/>
    <x v="8"/>
    <x v="8"/>
    <d v="2023-01-14T00:00:00"/>
    <x v="5"/>
    <x v="1"/>
    <x v="3"/>
    <s v="CUST9433"/>
    <x v="1"/>
  </r>
  <r>
    <s v="ORD0010"/>
    <x v="8"/>
    <x v="2"/>
    <n v="9"/>
    <n v="12.9"/>
    <x v="9"/>
    <x v="9"/>
    <d v="2025-06-16T00:00:00"/>
    <x v="6"/>
    <x v="3"/>
    <x v="3"/>
    <s v="CUST7235"/>
    <x v="1"/>
  </r>
  <r>
    <s v="ORD0011"/>
    <x v="9"/>
    <x v="2"/>
    <n v="7"/>
    <n v="306.95"/>
    <x v="10"/>
    <x v="10"/>
    <d v="2025-02-14T00:00:00"/>
    <x v="4"/>
    <x v="3"/>
    <x v="0"/>
    <s v="CUST9226"/>
    <x v="0"/>
  </r>
  <r>
    <s v="ORD0012"/>
    <x v="10"/>
    <x v="3"/>
    <n v="1"/>
    <n v="133.1"/>
    <x v="11"/>
    <x v="11"/>
    <d v="2025-05-21T00:00:00"/>
    <x v="1"/>
    <x v="2"/>
    <x v="0"/>
    <s v="CUST8555"/>
    <x v="1"/>
  </r>
  <r>
    <s v="ORD0013"/>
    <x v="11"/>
    <x v="4"/>
    <n v="2"/>
    <n v="215.45"/>
    <x v="12"/>
    <x v="12"/>
    <d v="2024-07-19T00:00:00"/>
    <x v="4"/>
    <x v="2"/>
    <x v="3"/>
    <s v="CUST4843"/>
    <x v="1"/>
  </r>
  <r>
    <s v="ORD0014"/>
    <x v="12"/>
    <x v="5"/>
    <n v="6"/>
    <n v="20.5"/>
    <x v="13"/>
    <x v="13"/>
    <d v="2024-02-06T00:00:00"/>
    <x v="3"/>
    <x v="3"/>
    <x v="1"/>
    <s v="CUST7873"/>
    <x v="1"/>
  </r>
  <r>
    <s v="ORD0015"/>
    <x v="4"/>
    <x v="0"/>
    <n v="2"/>
    <n v="200.6"/>
    <x v="14"/>
    <x v="14"/>
    <d v="2025-09-22T00:00:00"/>
    <x v="6"/>
    <x v="0"/>
    <x v="2"/>
    <s v="CUST8629"/>
    <x v="1"/>
  </r>
  <r>
    <s v="ORD0016"/>
    <x v="13"/>
    <x v="5"/>
    <n v="7"/>
    <n v="262.81"/>
    <x v="15"/>
    <x v="15"/>
    <d v="2024-12-02T00:00:00"/>
    <x v="6"/>
    <x v="0"/>
    <x v="1"/>
    <s v="CUST7439"/>
    <x v="1"/>
  </r>
  <r>
    <s v="ORD0017"/>
    <x v="7"/>
    <x v="2"/>
    <n v="5"/>
    <n v="197.4"/>
    <x v="16"/>
    <x v="16"/>
    <d v="2023-12-04T00:00:00"/>
    <x v="6"/>
    <x v="2"/>
    <x v="1"/>
    <s v="CUST1878"/>
    <x v="1"/>
  </r>
  <r>
    <s v="ORD0018"/>
    <x v="14"/>
    <x v="4"/>
    <n v="5"/>
    <n v="295.44"/>
    <x v="17"/>
    <x v="17"/>
    <d v="2023-08-05T00:00:00"/>
    <x v="5"/>
    <x v="0"/>
    <x v="3"/>
    <s v="CUST5859"/>
    <x v="1"/>
  </r>
  <r>
    <s v="ORD0019"/>
    <x v="2"/>
    <x v="1"/>
    <n v="9"/>
    <n v="151.66"/>
    <x v="18"/>
    <x v="18"/>
    <d v="2025-03-23T00:00:00"/>
    <x v="2"/>
    <x v="2"/>
    <x v="0"/>
    <s v="CUST1064"/>
    <x v="1"/>
  </r>
  <r>
    <s v="ORD0020"/>
    <x v="15"/>
    <x v="2"/>
    <n v="9"/>
    <n v="493.51"/>
    <x v="19"/>
    <x v="19"/>
    <d v="2023-12-10T00:00:00"/>
    <x v="2"/>
    <x v="0"/>
    <x v="3"/>
    <s v="CUST3027"/>
    <x v="0"/>
  </r>
  <r>
    <s v="ORD0021"/>
    <x v="16"/>
    <x v="3"/>
    <n v="8"/>
    <n v="7.73"/>
    <x v="20"/>
    <x v="20"/>
    <d v="2023-05-19T00:00:00"/>
    <x v="4"/>
    <x v="0"/>
    <x v="2"/>
    <s v="CUST6618"/>
    <x v="1"/>
  </r>
  <r>
    <s v="ORD0022"/>
    <x v="17"/>
    <x v="1"/>
    <n v="1"/>
    <n v="357.11"/>
    <x v="21"/>
    <x v="21"/>
    <d v="2024-02-23T00:00:00"/>
    <x v="4"/>
    <x v="2"/>
    <x v="2"/>
    <s v="CUST6892"/>
    <x v="1"/>
  </r>
  <r>
    <s v="ORD0023"/>
    <x v="18"/>
    <x v="4"/>
    <n v="7"/>
    <n v="327.27999999999997"/>
    <x v="22"/>
    <x v="22"/>
    <d v="2023-01-28T00:00:00"/>
    <x v="5"/>
    <x v="2"/>
    <x v="0"/>
    <s v="CUST7278"/>
    <x v="0"/>
  </r>
  <r>
    <s v="ORD0024"/>
    <x v="8"/>
    <x v="2"/>
    <n v="9"/>
    <n v="313.52999999999997"/>
    <x v="23"/>
    <x v="23"/>
    <d v="2025-07-18T00:00:00"/>
    <x v="4"/>
    <x v="0"/>
    <x v="1"/>
    <s v="CUST4104"/>
    <x v="0"/>
  </r>
  <r>
    <s v="ORD0025"/>
    <x v="16"/>
    <x v="3"/>
    <n v="7"/>
    <n v="158.94"/>
    <x v="24"/>
    <x v="24"/>
    <d v="2024-12-28T00:00:00"/>
    <x v="5"/>
    <x v="0"/>
    <x v="1"/>
    <s v="CUST9996"/>
    <x v="1"/>
  </r>
  <r>
    <s v="ORD0026"/>
    <x v="6"/>
    <x v="0"/>
    <n v="3"/>
    <n v="297.69"/>
    <x v="25"/>
    <x v="25"/>
    <d v="2024-12-26T00:00:00"/>
    <x v="0"/>
    <x v="0"/>
    <x v="2"/>
    <s v="CUST9154"/>
    <x v="1"/>
  </r>
  <r>
    <s v="ORD0027"/>
    <x v="19"/>
    <x v="2"/>
    <n v="3"/>
    <n v="238.75"/>
    <x v="26"/>
    <x v="26"/>
    <d v="2024-09-04T00:00:00"/>
    <x v="1"/>
    <x v="2"/>
    <x v="1"/>
    <s v="CUST9110"/>
    <x v="1"/>
  </r>
  <r>
    <s v="ORD0028"/>
    <x v="20"/>
    <x v="3"/>
    <n v="3"/>
    <n v="381.59"/>
    <x v="27"/>
    <x v="27"/>
    <d v="2023-08-06T00:00:00"/>
    <x v="2"/>
    <x v="3"/>
    <x v="2"/>
    <s v="CUST1502"/>
    <x v="1"/>
  </r>
  <r>
    <s v="ORD0029"/>
    <x v="2"/>
    <x v="1"/>
    <n v="7"/>
    <n v="25.01"/>
    <x v="28"/>
    <x v="28"/>
    <d v="2023-07-26T00:00:00"/>
    <x v="1"/>
    <x v="3"/>
    <x v="1"/>
    <s v="CUST6134"/>
    <x v="1"/>
  </r>
  <r>
    <s v="ORD0030"/>
    <x v="10"/>
    <x v="3"/>
    <n v="3"/>
    <n v="20.56"/>
    <x v="29"/>
    <x v="20"/>
    <d v="2025-01-12T00:00:00"/>
    <x v="2"/>
    <x v="1"/>
    <x v="0"/>
    <s v="CUST8408"/>
    <x v="1"/>
  </r>
  <r>
    <s v="ORD0031"/>
    <x v="11"/>
    <x v="4"/>
    <n v="4"/>
    <n v="283.82"/>
    <x v="30"/>
    <x v="29"/>
    <d v="2025-06-18T00:00:00"/>
    <x v="1"/>
    <x v="1"/>
    <x v="1"/>
    <s v="CUST2757"/>
    <x v="1"/>
  </r>
  <r>
    <s v="ORD0032"/>
    <x v="0"/>
    <x v="0"/>
    <n v="5"/>
    <n v="128.4"/>
    <x v="31"/>
    <x v="30"/>
    <d v="2025-01-18T00:00:00"/>
    <x v="5"/>
    <x v="2"/>
    <x v="1"/>
    <s v="CUST2678"/>
    <x v="1"/>
  </r>
  <r>
    <s v="ORD0033"/>
    <x v="21"/>
    <x v="5"/>
    <n v="4"/>
    <n v="471.71"/>
    <x v="32"/>
    <x v="31"/>
    <d v="2025-04-18T00:00:00"/>
    <x v="4"/>
    <x v="2"/>
    <x v="1"/>
    <s v="CUST4157"/>
    <x v="1"/>
  </r>
  <r>
    <s v="ORD0034"/>
    <x v="6"/>
    <x v="0"/>
    <n v="2"/>
    <n v="314.06"/>
    <x v="33"/>
    <x v="32"/>
    <d v="2024-07-27T00:00:00"/>
    <x v="5"/>
    <x v="0"/>
    <x v="2"/>
    <s v="CUST3693"/>
    <x v="1"/>
  </r>
  <r>
    <s v="ORD0035"/>
    <x v="22"/>
    <x v="3"/>
    <n v="4"/>
    <n v="446.82"/>
    <x v="34"/>
    <x v="33"/>
    <d v="2023-11-27T00:00:00"/>
    <x v="6"/>
    <x v="3"/>
    <x v="1"/>
    <s v="CUST2663"/>
    <x v="1"/>
  </r>
  <r>
    <s v="ORD0036"/>
    <x v="9"/>
    <x v="2"/>
    <n v="7"/>
    <n v="448.57"/>
    <x v="35"/>
    <x v="34"/>
    <d v="2023-08-19T00:00:00"/>
    <x v="5"/>
    <x v="1"/>
    <x v="3"/>
    <s v="CUST8392"/>
    <x v="0"/>
  </r>
  <r>
    <s v="ORD0037"/>
    <x v="20"/>
    <x v="3"/>
    <n v="1"/>
    <n v="117.83"/>
    <x v="36"/>
    <x v="35"/>
    <d v="2025-08-15T00:00:00"/>
    <x v="4"/>
    <x v="3"/>
    <x v="3"/>
    <s v="CUST7776"/>
    <x v="1"/>
  </r>
  <r>
    <s v="ORD0038"/>
    <x v="3"/>
    <x v="1"/>
    <n v="4"/>
    <n v="179.52"/>
    <x v="37"/>
    <x v="36"/>
    <d v="2023-09-16T00:00:00"/>
    <x v="5"/>
    <x v="3"/>
    <x v="2"/>
    <s v="CUST8526"/>
    <x v="1"/>
  </r>
  <r>
    <s v="ORD0039"/>
    <x v="3"/>
    <x v="1"/>
    <n v="6"/>
    <n v="257.82"/>
    <x v="38"/>
    <x v="37"/>
    <d v="2024-10-10T00:00:00"/>
    <x v="0"/>
    <x v="2"/>
    <x v="3"/>
    <s v="CUST5413"/>
    <x v="1"/>
  </r>
  <r>
    <s v="ORD0040"/>
    <x v="8"/>
    <x v="2"/>
    <n v="5"/>
    <n v="347.76"/>
    <x v="39"/>
    <x v="38"/>
    <d v="2023-08-22T00:00:00"/>
    <x v="3"/>
    <x v="1"/>
    <x v="2"/>
    <s v="CUST1663"/>
    <x v="1"/>
  </r>
  <r>
    <s v="ORD0041"/>
    <x v="7"/>
    <x v="2"/>
    <n v="6"/>
    <n v="113.29"/>
    <x v="40"/>
    <x v="39"/>
    <d v="2024-04-16T00:00:00"/>
    <x v="3"/>
    <x v="3"/>
    <x v="0"/>
    <s v="CUST4304"/>
    <x v="1"/>
  </r>
  <r>
    <s v="ORD0042"/>
    <x v="14"/>
    <x v="4"/>
    <n v="4"/>
    <n v="185"/>
    <x v="41"/>
    <x v="40"/>
    <d v="2024-05-11T00:00:00"/>
    <x v="5"/>
    <x v="3"/>
    <x v="0"/>
    <s v="CUST7585"/>
    <x v="1"/>
  </r>
  <r>
    <s v="ORD0043"/>
    <x v="15"/>
    <x v="2"/>
    <n v="4"/>
    <n v="127.2"/>
    <x v="42"/>
    <x v="41"/>
    <d v="2025-03-17T00:00:00"/>
    <x v="6"/>
    <x v="0"/>
    <x v="0"/>
    <s v="CUST8554"/>
    <x v="1"/>
  </r>
  <r>
    <s v="ORD0044"/>
    <x v="12"/>
    <x v="5"/>
    <n v="1"/>
    <n v="78.3"/>
    <x v="43"/>
    <x v="42"/>
    <d v="2025-08-09T00:00:00"/>
    <x v="5"/>
    <x v="0"/>
    <x v="2"/>
    <s v="CUST1698"/>
    <x v="1"/>
  </r>
  <r>
    <s v="ORD0045"/>
    <x v="18"/>
    <x v="4"/>
    <n v="1"/>
    <n v="488.42"/>
    <x v="44"/>
    <x v="43"/>
    <d v="2023-08-08T00:00:00"/>
    <x v="3"/>
    <x v="0"/>
    <x v="0"/>
    <s v="CUST1854"/>
    <x v="1"/>
  </r>
  <r>
    <s v="ORD0046"/>
    <x v="19"/>
    <x v="2"/>
    <n v="5"/>
    <n v="175.81"/>
    <x v="45"/>
    <x v="44"/>
    <d v="2024-01-20T00:00:00"/>
    <x v="5"/>
    <x v="0"/>
    <x v="1"/>
    <s v="CUST6249"/>
    <x v="1"/>
  </r>
  <r>
    <s v="ORD0047"/>
    <x v="23"/>
    <x v="4"/>
    <n v="5"/>
    <n v="247.28"/>
    <x v="46"/>
    <x v="45"/>
    <d v="2024-11-02T00:00:00"/>
    <x v="5"/>
    <x v="3"/>
    <x v="2"/>
    <s v="CUST6535"/>
    <x v="1"/>
  </r>
  <r>
    <s v="ORD0048"/>
    <x v="13"/>
    <x v="5"/>
    <n v="7"/>
    <n v="337.71"/>
    <x v="47"/>
    <x v="46"/>
    <d v="2023-07-22T00:00:00"/>
    <x v="5"/>
    <x v="0"/>
    <x v="3"/>
    <s v="CUST5218"/>
    <x v="0"/>
  </r>
  <r>
    <s v="ORD0049"/>
    <x v="6"/>
    <x v="0"/>
    <n v="1"/>
    <n v="365.47"/>
    <x v="48"/>
    <x v="47"/>
    <d v="2023-10-07T00:00:00"/>
    <x v="5"/>
    <x v="0"/>
    <x v="3"/>
    <s v="CUST9004"/>
    <x v="1"/>
  </r>
  <r>
    <s v="ORD0050"/>
    <x v="13"/>
    <x v="5"/>
    <n v="4"/>
    <n v="491.79"/>
    <x v="49"/>
    <x v="48"/>
    <d v="2025-09-08T00:00:00"/>
    <x v="6"/>
    <x v="2"/>
    <x v="1"/>
    <s v="CUST2930"/>
    <x v="1"/>
  </r>
  <r>
    <s v="ORD0051"/>
    <x v="0"/>
    <x v="0"/>
    <n v="1"/>
    <n v="79.61"/>
    <x v="50"/>
    <x v="49"/>
    <d v="2023-07-06T00:00:00"/>
    <x v="0"/>
    <x v="2"/>
    <x v="1"/>
    <s v="CUST3511"/>
    <x v="1"/>
  </r>
  <r>
    <s v="ORD0052"/>
    <x v="2"/>
    <x v="1"/>
    <n v="3"/>
    <n v="297.49"/>
    <x v="51"/>
    <x v="50"/>
    <d v="2025-08-12T00:00:00"/>
    <x v="3"/>
    <x v="3"/>
    <x v="1"/>
    <s v="CUST7546"/>
    <x v="1"/>
  </r>
  <r>
    <s v="ORD0053"/>
    <x v="13"/>
    <x v="5"/>
    <n v="3"/>
    <n v="405.7"/>
    <x v="52"/>
    <x v="51"/>
    <d v="2023-05-28T00:00:00"/>
    <x v="2"/>
    <x v="1"/>
    <x v="1"/>
    <s v="CUST3911"/>
    <x v="1"/>
  </r>
  <r>
    <s v="ORD0054"/>
    <x v="16"/>
    <x v="3"/>
    <n v="7"/>
    <n v="91.31"/>
    <x v="53"/>
    <x v="52"/>
    <d v="2025-07-17T00:00:00"/>
    <x v="0"/>
    <x v="1"/>
    <x v="2"/>
    <s v="CUST2959"/>
    <x v="1"/>
  </r>
  <r>
    <s v="ORD0055"/>
    <x v="8"/>
    <x v="2"/>
    <n v="7"/>
    <n v="468.68"/>
    <x v="54"/>
    <x v="53"/>
    <d v="2024-10-02T00:00:00"/>
    <x v="1"/>
    <x v="0"/>
    <x v="1"/>
    <s v="CUST2802"/>
    <x v="0"/>
  </r>
  <r>
    <s v="ORD0056"/>
    <x v="24"/>
    <x v="5"/>
    <n v="9"/>
    <n v="61.17"/>
    <x v="55"/>
    <x v="54"/>
    <d v="2023-05-31T00:00:00"/>
    <x v="1"/>
    <x v="2"/>
    <x v="2"/>
    <s v="CUST6534"/>
    <x v="1"/>
  </r>
  <r>
    <s v="ORD0057"/>
    <x v="2"/>
    <x v="1"/>
    <n v="3"/>
    <n v="118.13"/>
    <x v="56"/>
    <x v="55"/>
    <d v="2023-05-24T00:00:00"/>
    <x v="1"/>
    <x v="2"/>
    <x v="1"/>
    <s v="CUST9815"/>
    <x v="1"/>
  </r>
  <r>
    <s v="ORD0058"/>
    <x v="25"/>
    <x v="4"/>
    <n v="9"/>
    <n v="260.73"/>
    <x v="57"/>
    <x v="56"/>
    <d v="2025-05-30T00:00:00"/>
    <x v="4"/>
    <x v="1"/>
    <x v="1"/>
    <s v="CUST3049"/>
    <x v="0"/>
  </r>
  <r>
    <s v="ORD0059"/>
    <x v="20"/>
    <x v="3"/>
    <n v="1"/>
    <n v="51.09"/>
    <x v="58"/>
    <x v="57"/>
    <d v="2024-10-13T00:00:00"/>
    <x v="2"/>
    <x v="1"/>
    <x v="0"/>
    <s v="CUST5548"/>
    <x v="1"/>
  </r>
  <r>
    <s v="ORD0060"/>
    <x v="15"/>
    <x v="2"/>
    <n v="5"/>
    <n v="441.9"/>
    <x v="59"/>
    <x v="58"/>
    <d v="2023-01-09T00:00:00"/>
    <x v="6"/>
    <x v="3"/>
    <x v="1"/>
    <s v="CUST8400"/>
    <x v="0"/>
  </r>
  <r>
    <s v="ORD0061"/>
    <x v="11"/>
    <x v="4"/>
    <n v="3"/>
    <n v="351.68"/>
    <x v="60"/>
    <x v="59"/>
    <d v="2023-07-27T00:00:00"/>
    <x v="0"/>
    <x v="0"/>
    <x v="3"/>
    <s v="CUST2154"/>
    <x v="1"/>
  </r>
  <r>
    <s v="ORD0062"/>
    <x v="18"/>
    <x v="4"/>
    <n v="4"/>
    <n v="444.11"/>
    <x v="61"/>
    <x v="60"/>
    <d v="2023-04-30T00:00:00"/>
    <x v="2"/>
    <x v="2"/>
    <x v="1"/>
    <s v="CUST2648"/>
    <x v="1"/>
  </r>
  <r>
    <s v="ORD0063"/>
    <x v="26"/>
    <x v="0"/>
    <n v="8"/>
    <n v="393.74"/>
    <x v="62"/>
    <x v="61"/>
    <d v="2023-04-14T00:00:00"/>
    <x v="4"/>
    <x v="2"/>
    <x v="1"/>
    <s v="CUST9445"/>
    <x v="0"/>
  </r>
  <r>
    <s v="ORD0064"/>
    <x v="0"/>
    <x v="0"/>
    <n v="3"/>
    <n v="189.28"/>
    <x v="63"/>
    <x v="62"/>
    <d v="2024-04-17T00:00:00"/>
    <x v="1"/>
    <x v="1"/>
    <x v="2"/>
    <s v="CUST1098"/>
    <x v="1"/>
  </r>
  <r>
    <s v="ORD0065"/>
    <x v="26"/>
    <x v="0"/>
    <n v="9"/>
    <n v="7.51"/>
    <x v="64"/>
    <x v="63"/>
    <d v="2025-06-14T00:00:00"/>
    <x v="5"/>
    <x v="2"/>
    <x v="2"/>
    <s v="CUST5973"/>
    <x v="1"/>
  </r>
  <r>
    <s v="ORD0066"/>
    <x v="4"/>
    <x v="0"/>
    <n v="2"/>
    <n v="245.38"/>
    <x v="65"/>
    <x v="64"/>
    <d v="2023-06-12T00:00:00"/>
    <x v="6"/>
    <x v="2"/>
    <x v="0"/>
    <s v="CUST1956"/>
    <x v="1"/>
  </r>
  <r>
    <s v="ORD0067"/>
    <x v="12"/>
    <x v="5"/>
    <n v="9"/>
    <n v="92.08"/>
    <x v="66"/>
    <x v="65"/>
    <d v="2024-08-02T00:00:00"/>
    <x v="4"/>
    <x v="0"/>
    <x v="0"/>
    <s v="CUST7944"/>
    <x v="1"/>
  </r>
  <r>
    <s v="ORD0068"/>
    <x v="4"/>
    <x v="0"/>
    <n v="5"/>
    <n v="93.52"/>
    <x v="67"/>
    <x v="66"/>
    <d v="2024-05-18T00:00:00"/>
    <x v="5"/>
    <x v="2"/>
    <x v="2"/>
    <s v="CUST7015"/>
    <x v="1"/>
  </r>
  <r>
    <s v="ORD0069"/>
    <x v="2"/>
    <x v="1"/>
    <n v="8"/>
    <n v="425.37"/>
    <x v="68"/>
    <x v="67"/>
    <d v="2024-02-05T00:00:00"/>
    <x v="6"/>
    <x v="3"/>
    <x v="3"/>
    <s v="CUST5735"/>
    <x v="0"/>
  </r>
  <r>
    <s v="ORD0070"/>
    <x v="27"/>
    <x v="1"/>
    <n v="1"/>
    <n v="273.56"/>
    <x v="69"/>
    <x v="68"/>
    <d v="2025-08-12T00:00:00"/>
    <x v="3"/>
    <x v="2"/>
    <x v="1"/>
    <s v="CUST9050"/>
    <x v="1"/>
  </r>
  <r>
    <s v="ORD0071"/>
    <x v="14"/>
    <x v="4"/>
    <n v="6"/>
    <n v="136.28"/>
    <x v="70"/>
    <x v="69"/>
    <d v="2025-01-19T00:00:00"/>
    <x v="2"/>
    <x v="0"/>
    <x v="2"/>
    <s v="CUST2693"/>
    <x v="1"/>
  </r>
  <r>
    <s v="ORD0072"/>
    <x v="27"/>
    <x v="1"/>
    <n v="6"/>
    <n v="489.55"/>
    <x v="71"/>
    <x v="70"/>
    <d v="2024-07-16T00:00:00"/>
    <x v="3"/>
    <x v="1"/>
    <x v="0"/>
    <s v="CUST6895"/>
    <x v="0"/>
  </r>
  <r>
    <s v="ORD0073"/>
    <x v="26"/>
    <x v="0"/>
    <n v="2"/>
    <n v="178.29"/>
    <x v="72"/>
    <x v="71"/>
    <d v="2024-08-31T00:00:00"/>
    <x v="5"/>
    <x v="3"/>
    <x v="2"/>
    <s v="CUST8022"/>
    <x v="1"/>
  </r>
  <r>
    <s v="ORD0074"/>
    <x v="21"/>
    <x v="5"/>
    <n v="1"/>
    <n v="101.65"/>
    <x v="73"/>
    <x v="72"/>
    <d v="2025-04-08T00:00:00"/>
    <x v="3"/>
    <x v="1"/>
    <x v="1"/>
    <s v="CUST8683"/>
    <x v="1"/>
  </r>
  <r>
    <s v="ORD0075"/>
    <x v="16"/>
    <x v="3"/>
    <n v="3"/>
    <n v="385.43"/>
    <x v="74"/>
    <x v="73"/>
    <d v="2024-05-26T00:00:00"/>
    <x v="2"/>
    <x v="0"/>
    <x v="1"/>
    <s v="CUST9208"/>
    <x v="1"/>
  </r>
  <r>
    <s v="ORD0076"/>
    <x v="21"/>
    <x v="5"/>
    <n v="5"/>
    <n v="442.33"/>
    <x v="75"/>
    <x v="74"/>
    <d v="2025-06-10T00:00:00"/>
    <x v="3"/>
    <x v="0"/>
    <x v="2"/>
    <s v="CUST2060"/>
    <x v="0"/>
  </r>
  <r>
    <s v="ORD0077"/>
    <x v="16"/>
    <x v="3"/>
    <n v="8"/>
    <n v="168.72"/>
    <x v="76"/>
    <x v="75"/>
    <d v="2023-10-29T00:00:00"/>
    <x v="2"/>
    <x v="3"/>
    <x v="1"/>
    <s v="CUST1606"/>
    <x v="1"/>
  </r>
  <r>
    <s v="ORD0078"/>
    <x v="26"/>
    <x v="0"/>
    <n v="3"/>
    <n v="490.26"/>
    <x v="77"/>
    <x v="76"/>
    <d v="2023-04-26T00:00:00"/>
    <x v="1"/>
    <x v="3"/>
    <x v="1"/>
    <s v="CUST1190"/>
    <x v="1"/>
  </r>
  <r>
    <s v="ORD0079"/>
    <x v="16"/>
    <x v="3"/>
    <n v="5"/>
    <n v="99.5"/>
    <x v="78"/>
    <x v="77"/>
    <d v="2023-06-10T00:00:00"/>
    <x v="5"/>
    <x v="3"/>
    <x v="0"/>
    <s v="CUST4327"/>
    <x v="1"/>
  </r>
  <r>
    <s v="ORD0080"/>
    <x v="22"/>
    <x v="3"/>
    <n v="3"/>
    <n v="88.9"/>
    <x v="79"/>
    <x v="78"/>
    <d v="2025-03-03T00:00:00"/>
    <x v="6"/>
    <x v="1"/>
    <x v="2"/>
    <s v="CUST6854"/>
    <x v="1"/>
  </r>
  <r>
    <s v="ORD0081"/>
    <x v="0"/>
    <x v="0"/>
    <n v="6"/>
    <n v="349.53"/>
    <x v="80"/>
    <x v="79"/>
    <d v="2025-05-21T00:00:00"/>
    <x v="1"/>
    <x v="1"/>
    <x v="2"/>
    <s v="CUST3733"/>
    <x v="0"/>
  </r>
  <r>
    <s v="ORD0082"/>
    <x v="9"/>
    <x v="2"/>
    <n v="8"/>
    <n v="108.41"/>
    <x v="81"/>
    <x v="80"/>
    <d v="2025-07-31T00:00:00"/>
    <x v="0"/>
    <x v="3"/>
    <x v="1"/>
    <s v="CUST2686"/>
    <x v="1"/>
  </r>
  <r>
    <s v="ORD0083"/>
    <x v="9"/>
    <x v="2"/>
    <n v="2"/>
    <n v="130.81"/>
    <x v="82"/>
    <x v="81"/>
    <d v="2024-05-04T00:00:00"/>
    <x v="5"/>
    <x v="3"/>
    <x v="2"/>
    <s v="CUST2409"/>
    <x v="1"/>
  </r>
  <r>
    <s v="ORD0084"/>
    <x v="4"/>
    <x v="0"/>
    <n v="1"/>
    <n v="425.09"/>
    <x v="83"/>
    <x v="82"/>
    <d v="2024-01-28T00:00:00"/>
    <x v="2"/>
    <x v="1"/>
    <x v="2"/>
    <s v="CUST8343"/>
    <x v="1"/>
  </r>
  <r>
    <s v="ORD0085"/>
    <x v="10"/>
    <x v="3"/>
    <n v="7"/>
    <n v="150.33000000000001"/>
    <x v="84"/>
    <x v="83"/>
    <d v="2025-01-28T00:00:00"/>
    <x v="3"/>
    <x v="3"/>
    <x v="2"/>
    <s v="CUST1537"/>
    <x v="1"/>
  </r>
  <r>
    <s v="ORD0086"/>
    <x v="15"/>
    <x v="2"/>
    <n v="3"/>
    <n v="131.82"/>
    <x v="85"/>
    <x v="84"/>
    <d v="2024-02-12T00:00:00"/>
    <x v="6"/>
    <x v="2"/>
    <x v="3"/>
    <s v="CUST9716"/>
    <x v="1"/>
  </r>
  <r>
    <s v="ORD0087"/>
    <x v="21"/>
    <x v="5"/>
    <n v="7"/>
    <n v="253.25"/>
    <x v="86"/>
    <x v="85"/>
    <d v="2024-11-15T00:00:00"/>
    <x v="4"/>
    <x v="3"/>
    <x v="3"/>
    <s v="CUST3368"/>
    <x v="1"/>
  </r>
  <r>
    <s v="ORD0088"/>
    <x v="3"/>
    <x v="1"/>
    <n v="8"/>
    <n v="352.47"/>
    <x v="87"/>
    <x v="86"/>
    <d v="2024-02-04T00:00:00"/>
    <x v="2"/>
    <x v="1"/>
    <x v="1"/>
    <s v="CUST7002"/>
    <x v="0"/>
  </r>
  <r>
    <s v="ORD0089"/>
    <x v="18"/>
    <x v="4"/>
    <n v="7"/>
    <n v="18.670000000000002"/>
    <x v="88"/>
    <x v="87"/>
    <d v="2023-12-20T00:00:00"/>
    <x v="1"/>
    <x v="3"/>
    <x v="0"/>
    <s v="CUST6919"/>
    <x v="1"/>
  </r>
  <r>
    <s v="ORD0090"/>
    <x v="28"/>
    <x v="3"/>
    <n v="7"/>
    <n v="337.65"/>
    <x v="89"/>
    <x v="46"/>
    <d v="2023-02-20T00:00:00"/>
    <x v="6"/>
    <x v="3"/>
    <x v="3"/>
    <s v="CUST4769"/>
    <x v="0"/>
  </r>
  <r>
    <s v="ORD0091"/>
    <x v="26"/>
    <x v="0"/>
    <n v="6"/>
    <n v="297.45999999999998"/>
    <x v="90"/>
    <x v="88"/>
    <d v="2023-12-08T00:00:00"/>
    <x v="4"/>
    <x v="3"/>
    <x v="0"/>
    <s v="CUST5777"/>
    <x v="1"/>
  </r>
  <r>
    <s v="ORD0092"/>
    <x v="20"/>
    <x v="3"/>
    <n v="6"/>
    <n v="155.12"/>
    <x v="91"/>
    <x v="89"/>
    <d v="2024-03-19T00:00:00"/>
    <x v="3"/>
    <x v="2"/>
    <x v="2"/>
    <s v="CUST4124"/>
    <x v="1"/>
  </r>
  <r>
    <s v="ORD0093"/>
    <x v="15"/>
    <x v="2"/>
    <n v="5"/>
    <n v="231.35"/>
    <x v="92"/>
    <x v="73"/>
    <d v="2025-02-12T00:00:00"/>
    <x v="1"/>
    <x v="1"/>
    <x v="3"/>
    <s v="CUST1876"/>
    <x v="1"/>
  </r>
  <r>
    <s v="ORD0094"/>
    <x v="11"/>
    <x v="4"/>
    <n v="4"/>
    <n v="208.62"/>
    <x v="93"/>
    <x v="90"/>
    <d v="2025-05-16T00:00:00"/>
    <x v="4"/>
    <x v="1"/>
    <x v="1"/>
    <s v="CUST7966"/>
    <x v="1"/>
  </r>
  <r>
    <s v="ORD0095"/>
    <x v="6"/>
    <x v="0"/>
    <n v="8"/>
    <n v="364.42"/>
    <x v="94"/>
    <x v="91"/>
    <d v="2023-09-26T00:00:00"/>
    <x v="3"/>
    <x v="2"/>
    <x v="0"/>
    <s v="CUST5465"/>
    <x v="0"/>
  </r>
  <r>
    <s v="ORD0096"/>
    <x v="15"/>
    <x v="2"/>
    <n v="3"/>
    <n v="398.62"/>
    <x v="95"/>
    <x v="92"/>
    <d v="2025-04-10T00:00:00"/>
    <x v="0"/>
    <x v="3"/>
    <x v="1"/>
    <s v="CUST6177"/>
    <x v="1"/>
  </r>
  <r>
    <s v="ORD0097"/>
    <x v="4"/>
    <x v="0"/>
    <n v="7"/>
    <n v="129.18"/>
    <x v="96"/>
    <x v="93"/>
    <d v="2024-04-18T00:00:00"/>
    <x v="0"/>
    <x v="1"/>
    <x v="2"/>
    <s v="CUST9308"/>
    <x v="1"/>
  </r>
  <r>
    <s v="ORD0098"/>
    <x v="27"/>
    <x v="1"/>
    <n v="7"/>
    <n v="217.02"/>
    <x v="97"/>
    <x v="94"/>
    <d v="2025-06-26T00:00:00"/>
    <x v="0"/>
    <x v="3"/>
    <x v="1"/>
    <s v="CUST2664"/>
    <x v="1"/>
  </r>
  <r>
    <s v="ORD0099"/>
    <x v="29"/>
    <x v="5"/>
    <n v="1"/>
    <n v="223.96"/>
    <x v="98"/>
    <x v="95"/>
    <d v="2023-04-06T00:00:00"/>
    <x v="0"/>
    <x v="3"/>
    <x v="1"/>
    <s v="CUST8805"/>
    <x v="1"/>
  </r>
  <r>
    <s v="ORD0100"/>
    <x v="17"/>
    <x v="1"/>
    <n v="6"/>
    <n v="358.72"/>
    <x v="99"/>
    <x v="96"/>
    <d v="2024-05-02T00:00:00"/>
    <x v="0"/>
    <x v="2"/>
    <x v="0"/>
    <s v="CUST8404"/>
    <x v="0"/>
  </r>
  <r>
    <s v="ORD0101"/>
    <x v="16"/>
    <x v="3"/>
    <n v="5"/>
    <n v="320.94"/>
    <x v="100"/>
    <x v="97"/>
    <d v="2023-07-08T00:00:00"/>
    <x v="5"/>
    <x v="0"/>
    <x v="1"/>
    <s v="CUST5070"/>
    <x v="1"/>
  </r>
  <r>
    <s v="ORD0102"/>
    <x v="1"/>
    <x v="0"/>
    <n v="5"/>
    <n v="307.8"/>
    <x v="101"/>
    <x v="98"/>
    <d v="2023-09-04T00:00:00"/>
    <x v="6"/>
    <x v="3"/>
    <x v="0"/>
    <s v="CUST9130"/>
    <x v="1"/>
  </r>
  <r>
    <s v="ORD0103"/>
    <x v="27"/>
    <x v="1"/>
    <n v="3"/>
    <n v="380.13"/>
    <x v="102"/>
    <x v="99"/>
    <d v="2024-11-27T00:00:00"/>
    <x v="1"/>
    <x v="2"/>
    <x v="3"/>
    <s v="CUST6188"/>
    <x v="1"/>
  </r>
  <r>
    <s v="ORD0104"/>
    <x v="18"/>
    <x v="4"/>
    <n v="1"/>
    <n v="159.15"/>
    <x v="103"/>
    <x v="100"/>
    <d v="2025-08-15T00:00:00"/>
    <x v="4"/>
    <x v="2"/>
    <x v="3"/>
    <s v="CUST7617"/>
    <x v="1"/>
  </r>
  <r>
    <s v="ORD0105"/>
    <x v="2"/>
    <x v="1"/>
    <n v="5"/>
    <n v="239.37"/>
    <x v="104"/>
    <x v="101"/>
    <d v="2023-10-16T00:00:00"/>
    <x v="6"/>
    <x v="3"/>
    <x v="3"/>
    <s v="CUST8421"/>
    <x v="1"/>
  </r>
  <r>
    <s v="ORD0106"/>
    <x v="5"/>
    <x v="1"/>
    <n v="5"/>
    <n v="202.26"/>
    <x v="105"/>
    <x v="102"/>
    <d v="2024-06-05T00:00:00"/>
    <x v="1"/>
    <x v="0"/>
    <x v="1"/>
    <s v="CUST3849"/>
    <x v="1"/>
  </r>
  <r>
    <s v="ORD0107"/>
    <x v="1"/>
    <x v="0"/>
    <n v="4"/>
    <n v="190.43"/>
    <x v="106"/>
    <x v="103"/>
    <d v="2025-01-31T00:00:00"/>
    <x v="4"/>
    <x v="3"/>
    <x v="1"/>
    <s v="CUST3489"/>
    <x v="1"/>
  </r>
  <r>
    <s v="ORD0108"/>
    <x v="24"/>
    <x v="5"/>
    <n v="1"/>
    <n v="271.99"/>
    <x v="107"/>
    <x v="104"/>
    <d v="2024-05-30T00:00:00"/>
    <x v="0"/>
    <x v="2"/>
    <x v="3"/>
    <s v="CUST3839"/>
    <x v="1"/>
  </r>
  <r>
    <s v="ORD0109"/>
    <x v="6"/>
    <x v="0"/>
    <n v="7"/>
    <n v="472.4"/>
    <x v="108"/>
    <x v="105"/>
    <d v="2025-09-14T00:00:00"/>
    <x v="2"/>
    <x v="3"/>
    <x v="3"/>
    <s v="CUST7303"/>
    <x v="0"/>
  </r>
  <r>
    <s v="ORD0110"/>
    <x v="5"/>
    <x v="1"/>
    <n v="4"/>
    <n v="289.86"/>
    <x v="109"/>
    <x v="106"/>
    <d v="2024-11-20T00:00:00"/>
    <x v="1"/>
    <x v="0"/>
    <x v="3"/>
    <s v="CUST3427"/>
    <x v="1"/>
  </r>
  <r>
    <s v="ORD0111"/>
    <x v="11"/>
    <x v="4"/>
    <n v="1"/>
    <n v="231.84"/>
    <x v="110"/>
    <x v="107"/>
    <d v="2024-11-21T00:00:00"/>
    <x v="0"/>
    <x v="3"/>
    <x v="0"/>
    <s v="CUST6732"/>
    <x v="1"/>
  </r>
  <r>
    <s v="ORD0112"/>
    <x v="18"/>
    <x v="4"/>
    <n v="3"/>
    <n v="411.11"/>
    <x v="111"/>
    <x v="108"/>
    <d v="2023-06-17T00:00:00"/>
    <x v="5"/>
    <x v="2"/>
    <x v="0"/>
    <s v="CUST4913"/>
    <x v="1"/>
  </r>
  <r>
    <s v="ORD0113"/>
    <x v="20"/>
    <x v="3"/>
    <n v="2"/>
    <n v="24.29"/>
    <x v="112"/>
    <x v="109"/>
    <d v="2025-01-23T00:00:00"/>
    <x v="0"/>
    <x v="3"/>
    <x v="0"/>
    <s v="CUST3082"/>
    <x v="1"/>
  </r>
  <r>
    <s v="ORD0114"/>
    <x v="12"/>
    <x v="5"/>
    <n v="7"/>
    <n v="40.24"/>
    <x v="113"/>
    <x v="110"/>
    <d v="2025-02-14T00:00:00"/>
    <x v="4"/>
    <x v="1"/>
    <x v="2"/>
    <s v="CUST7748"/>
    <x v="1"/>
  </r>
  <r>
    <s v="ORD0115"/>
    <x v="12"/>
    <x v="5"/>
    <n v="2"/>
    <n v="134.04"/>
    <x v="114"/>
    <x v="111"/>
    <d v="2025-06-21T00:00:00"/>
    <x v="5"/>
    <x v="1"/>
    <x v="1"/>
    <s v="CUST4267"/>
    <x v="1"/>
  </r>
  <r>
    <s v="ORD0116"/>
    <x v="20"/>
    <x v="3"/>
    <n v="5"/>
    <n v="177.43"/>
    <x v="115"/>
    <x v="112"/>
    <d v="2023-03-16T00:00:00"/>
    <x v="0"/>
    <x v="1"/>
    <x v="3"/>
    <s v="CUST1412"/>
    <x v="1"/>
  </r>
  <r>
    <s v="ORD0117"/>
    <x v="3"/>
    <x v="1"/>
    <n v="8"/>
    <n v="368.86"/>
    <x v="116"/>
    <x v="113"/>
    <d v="2023-10-04T00:00:00"/>
    <x v="1"/>
    <x v="3"/>
    <x v="0"/>
    <s v="CUST8164"/>
    <x v="0"/>
  </r>
  <r>
    <s v="ORD0118"/>
    <x v="20"/>
    <x v="3"/>
    <n v="9"/>
    <n v="276.25"/>
    <x v="117"/>
    <x v="114"/>
    <d v="2025-05-18T00:00:00"/>
    <x v="2"/>
    <x v="1"/>
    <x v="3"/>
    <s v="CUST3504"/>
    <x v="0"/>
  </r>
  <r>
    <s v="ORD0119"/>
    <x v="14"/>
    <x v="4"/>
    <n v="8"/>
    <n v="404.38"/>
    <x v="118"/>
    <x v="115"/>
    <d v="2024-11-19T00:00:00"/>
    <x v="3"/>
    <x v="1"/>
    <x v="3"/>
    <s v="CUST2122"/>
    <x v="0"/>
  </r>
  <r>
    <s v="ORD0120"/>
    <x v="10"/>
    <x v="3"/>
    <n v="4"/>
    <n v="189.15"/>
    <x v="119"/>
    <x v="116"/>
    <d v="2025-09-25T00:00:00"/>
    <x v="0"/>
    <x v="2"/>
    <x v="1"/>
    <s v="CUST3143"/>
    <x v="1"/>
  </r>
  <r>
    <s v="ORD0121"/>
    <x v="24"/>
    <x v="5"/>
    <n v="8"/>
    <n v="434.22"/>
    <x v="120"/>
    <x v="117"/>
    <d v="2025-01-05T00:00:00"/>
    <x v="2"/>
    <x v="0"/>
    <x v="1"/>
    <s v="CUST4440"/>
    <x v="0"/>
  </r>
  <r>
    <s v="ORD0122"/>
    <x v="24"/>
    <x v="5"/>
    <n v="7"/>
    <n v="376.68"/>
    <x v="121"/>
    <x v="118"/>
    <d v="2023-08-05T00:00:00"/>
    <x v="5"/>
    <x v="3"/>
    <x v="0"/>
    <s v="CUST3914"/>
    <x v="0"/>
  </r>
  <r>
    <s v="ORD0123"/>
    <x v="29"/>
    <x v="5"/>
    <n v="9"/>
    <n v="191.98"/>
    <x v="122"/>
    <x v="119"/>
    <d v="2025-05-30T00:00:00"/>
    <x v="4"/>
    <x v="2"/>
    <x v="3"/>
    <s v="CUST9787"/>
    <x v="1"/>
  </r>
  <r>
    <s v="ORD0124"/>
    <x v="10"/>
    <x v="3"/>
    <n v="9"/>
    <n v="163.41999999999999"/>
    <x v="77"/>
    <x v="76"/>
    <d v="2024-11-29T00:00:00"/>
    <x v="4"/>
    <x v="2"/>
    <x v="3"/>
    <s v="CUST8186"/>
    <x v="1"/>
  </r>
  <r>
    <s v="ORD0125"/>
    <x v="2"/>
    <x v="1"/>
    <n v="1"/>
    <n v="31.48"/>
    <x v="123"/>
    <x v="120"/>
    <d v="2024-03-20T00:00:00"/>
    <x v="1"/>
    <x v="0"/>
    <x v="1"/>
    <s v="CUST8400"/>
    <x v="1"/>
  </r>
  <r>
    <s v="ORD0126"/>
    <x v="5"/>
    <x v="1"/>
    <n v="3"/>
    <n v="50.19"/>
    <x v="124"/>
    <x v="121"/>
    <d v="2024-03-30T00:00:00"/>
    <x v="5"/>
    <x v="0"/>
    <x v="1"/>
    <s v="CUST1717"/>
    <x v="1"/>
  </r>
  <r>
    <s v="ORD0127"/>
    <x v="1"/>
    <x v="0"/>
    <n v="4"/>
    <n v="288.85000000000002"/>
    <x v="125"/>
    <x v="122"/>
    <d v="2024-01-02T00:00:00"/>
    <x v="3"/>
    <x v="3"/>
    <x v="0"/>
    <s v="CUST9335"/>
    <x v="1"/>
  </r>
  <r>
    <s v="ORD0128"/>
    <x v="18"/>
    <x v="4"/>
    <n v="5"/>
    <n v="50.39"/>
    <x v="126"/>
    <x v="123"/>
    <d v="2024-01-31T00:00:00"/>
    <x v="1"/>
    <x v="1"/>
    <x v="3"/>
    <s v="CUST8192"/>
    <x v="1"/>
  </r>
  <r>
    <s v="ORD0129"/>
    <x v="11"/>
    <x v="4"/>
    <n v="4"/>
    <n v="337.9"/>
    <x v="127"/>
    <x v="124"/>
    <d v="2024-04-28T00:00:00"/>
    <x v="2"/>
    <x v="3"/>
    <x v="2"/>
    <s v="CUST4636"/>
    <x v="1"/>
  </r>
  <r>
    <s v="ORD0130"/>
    <x v="24"/>
    <x v="5"/>
    <n v="7"/>
    <n v="391.74"/>
    <x v="128"/>
    <x v="125"/>
    <d v="2023-02-08T00:00:00"/>
    <x v="1"/>
    <x v="1"/>
    <x v="0"/>
    <s v="CUST3156"/>
    <x v="0"/>
  </r>
  <r>
    <s v="ORD0131"/>
    <x v="23"/>
    <x v="4"/>
    <n v="5"/>
    <n v="249.74"/>
    <x v="129"/>
    <x v="126"/>
    <d v="2025-07-23T00:00:00"/>
    <x v="1"/>
    <x v="1"/>
    <x v="0"/>
    <s v="CUST7541"/>
    <x v="1"/>
  </r>
  <r>
    <s v="ORD0132"/>
    <x v="28"/>
    <x v="3"/>
    <n v="5"/>
    <n v="369.83"/>
    <x v="130"/>
    <x v="127"/>
    <d v="2025-01-02T00:00:00"/>
    <x v="0"/>
    <x v="3"/>
    <x v="2"/>
    <s v="CUST5330"/>
    <x v="1"/>
  </r>
  <r>
    <s v="ORD0133"/>
    <x v="15"/>
    <x v="2"/>
    <n v="2"/>
    <n v="484.48"/>
    <x v="131"/>
    <x v="128"/>
    <d v="2023-01-09T00:00:00"/>
    <x v="6"/>
    <x v="3"/>
    <x v="3"/>
    <s v="CUST8241"/>
    <x v="1"/>
  </r>
  <r>
    <s v="ORD0134"/>
    <x v="21"/>
    <x v="5"/>
    <n v="1"/>
    <n v="55.06"/>
    <x v="132"/>
    <x v="129"/>
    <d v="2024-06-02T00:00:00"/>
    <x v="2"/>
    <x v="2"/>
    <x v="0"/>
    <s v="CUST6293"/>
    <x v="1"/>
  </r>
  <r>
    <s v="ORD0135"/>
    <x v="23"/>
    <x v="4"/>
    <n v="8"/>
    <n v="41.02"/>
    <x v="133"/>
    <x v="130"/>
    <d v="2025-08-03T00:00:00"/>
    <x v="2"/>
    <x v="0"/>
    <x v="1"/>
    <s v="CUST7938"/>
    <x v="1"/>
  </r>
  <r>
    <s v="ORD0136"/>
    <x v="8"/>
    <x v="2"/>
    <n v="2"/>
    <n v="45.27"/>
    <x v="134"/>
    <x v="131"/>
    <d v="2023-06-14T00:00:00"/>
    <x v="1"/>
    <x v="1"/>
    <x v="1"/>
    <s v="CUST6541"/>
    <x v="1"/>
  </r>
  <r>
    <s v="ORD0137"/>
    <x v="22"/>
    <x v="3"/>
    <n v="3"/>
    <n v="292.75"/>
    <x v="135"/>
    <x v="132"/>
    <d v="2023-12-31T00:00:00"/>
    <x v="2"/>
    <x v="3"/>
    <x v="3"/>
    <s v="CUST2365"/>
    <x v="1"/>
  </r>
  <r>
    <s v="ORD0138"/>
    <x v="29"/>
    <x v="5"/>
    <n v="4"/>
    <n v="122.16"/>
    <x v="136"/>
    <x v="43"/>
    <d v="2023-11-23T00:00:00"/>
    <x v="0"/>
    <x v="2"/>
    <x v="2"/>
    <s v="CUST5312"/>
    <x v="1"/>
  </r>
  <r>
    <s v="ORD0139"/>
    <x v="24"/>
    <x v="5"/>
    <n v="4"/>
    <n v="178.36"/>
    <x v="137"/>
    <x v="133"/>
    <d v="2023-09-09T00:00:00"/>
    <x v="5"/>
    <x v="3"/>
    <x v="1"/>
    <s v="CUST4486"/>
    <x v="1"/>
  </r>
  <r>
    <s v="ORD0140"/>
    <x v="8"/>
    <x v="2"/>
    <n v="3"/>
    <n v="389.69"/>
    <x v="138"/>
    <x v="134"/>
    <d v="2023-07-01T00:00:00"/>
    <x v="5"/>
    <x v="0"/>
    <x v="2"/>
    <s v="CUST5186"/>
    <x v="1"/>
  </r>
  <r>
    <s v="ORD0141"/>
    <x v="26"/>
    <x v="0"/>
    <n v="3"/>
    <n v="60.04"/>
    <x v="139"/>
    <x v="135"/>
    <d v="2024-03-26T00:00:00"/>
    <x v="3"/>
    <x v="3"/>
    <x v="2"/>
    <s v="CUST5268"/>
    <x v="1"/>
  </r>
  <r>
    <s v="ORD0142"/>
    <x v="10"/>
    <x v="3"/>
    <n v="2"/>
    <n v="236.99"/>
    <x v="140"/>
    <x v="136"/>
    <d v="2023-02-27T00:00:00"/>
    <x v="6"/>
    <x v="2"/>
    <x v="3"/>
    <s v="CUST7619"/>
    <x v="1"/>
  </r>
  <r>
    <s v="ORD0143"/>
    <x v="20"/>
    <x v="3"/>
    <n v="8"/>
    <n v="63.18"/>
    <x v="141"/>
    <x v="137"/>
    <d v="2023-12-27T00:00:00"/>
    <x v="1"/>
    <x v="3"/>
    <x v="1"/>
    <s v="CUST4072"/>
    <x v="1"/>
  </r>
  <r>
    <s v="ORD0144"/>
    <x v="16"/>
    <x v="3"/>
    <n v="3"/>
    <n v="293.77"/>
    <x v="142"/>
    <x v="138"/>
    <d v="2023-07-09T00:00:00"/>
    <x v="2"/>
    <x v="1"/>
    <x v="2"/>
    <s v="CUST1504"/>
    <x v="1"/>
  </r>
  <r>
    <s v="ORD0145"/>
    <x v="3"/>
    <x v="1"/>
    <n v="1"/>
    <n v="46.03"/>
    <x v="143"/>
    <x v="139"/>
    <d v="2025-07-17T00:00:00"/>
    <x v="0"/>
    <x v="0"/>
    <x v="2"/>
    <s v="CUST6029"/>
    <x v="1"/>
  </r>
  <r>
    <s v="ORD0146"/>
    <x v="9"/>
    <x v="2"/>
    <n v="5"/>
    <n v="481.8"/>
    <x v="144"/>
    <x v="140"/>
    <d v="2024-07-09T00:00:00"/>
    <x v="3"/>
    <x v="1"/>
    <x v="2"/>
    <s v="CUST7316"/>
    <x v="0"/>
  </r>
  <r>
    <s v="ORD0147"/>
    <x v="17"/>
    <x v="1"/>
    <n v="5"/>
    <n v="26.48"/>
    <x v="145"/>
    <x v="141"/>
    <d v="2023-08-01T00:00:00"/>
    <x v="3"/>
    <x v="2"/>
    <x v="2"/>
    <s v="CUST6348"/>
    <x v="1"/>
  </r>
  <r>
    <s v="ORD0148"/>
    <x v="20"/>
    <x v="3"/>
    <n v="4"/>
    <n v="279.16000000000003"/>
    <x v="146"/>
    <x v="142"/>
    <d v="2024-06-15T00:00:00"/>
    <x v="5"/>
    <x v="0"/>
    <x v="0"/>
    <s v="CUST7190"/>
    <x v="1"/>
  </r>
  <r>
    <s v="ORD0149"/>
    <x v="2"/>
    <x v="1"/>
    <n v="9"/>
    <n v="112.32"/>
    <x v="147"/>
    <x v="143"/>
    <d v="2023-05-23T00:00:00"/>
    <x v="3"/>
    <x v="0"/>
    <x v="2"/>
    <s v="CUST4486"/>
    <x v="1"/>
  </r>
  <r>
    <s v="ORD0150"/>
    <x v="8"/>
    <x v="2"/>
    <n v="1"/>
    <n v="315.64"/>
    <x v="148"/>
    <x v="144"/>
    <d v="2025-06-04T00:00:00"/>
    <x v="1"/>
    <x v="3"/>
    <x v="1"/>
    <s v="CUST4330"/>
    <x v="1"/>
  </r>
  <r>
    <s v="ORD0151"/>
    <x v="10"/>
    <x v="3"/>
    <n v="7"/>
    <n v="27.5"/>
    <x v="149"/>
    <x v="145"/>
    <d v="2023-01-12T00:00:00"/>
    <x v="0"/>
    <x v="3"/>
    <x v="2"/>
    <s v="CUST2353"/>
    <x v="1"/>
  </r>
  <r>
    <s v="ORD0152"/>
    <x v="10"/>
    <x v="3"/>
    <n v="8"/>
    <n v="200.29"/>
    <x v="150"/>
    <x v="146"/>
    <d v="2024-02-12T00:00:00"/>
    <x v="6"/>
    <x v="3"/>
    <x v="0"/>
    <s v="CUST1667"/>
    <x v="1"/>
  </r>
  <r>
    <s v="ORD0153"/>
    <x v="14"/>
    <x v="4"/>
    <n v="5"/>
    <n v="142.30000000000001"/>
    <x v="151"/>
    <x v="147"/>
    <d v="2023-12-14T00:00:00"/>
    <x v="0"/>
    <x v="3"/>
    <x v="2"/>
    <s v="CUST7819"/>
    <x v="1"/>
  </r>
  <r>
    <s v="ORD0154"/>
    <x v="5"/>
    <x v="1"/>
    <n v="8"/>
    <n v="179.91"/>
    <x v="152"/>
    <x v="148"/>
    <d v="2023-06-27T00:00:00"/>
    <x v="3"/>
    <x v="3"/>
    <x v="3"/>
    <s v="CUST1539"/>
    <x v="1"/>
  </r>
  <r>
    <s v="ORD0155"/>
    <x v="9"/>
    <x v="2"/>
    <n v="5"/>
    <n v="487.33"/>
    <x v="153"/>
    <x v="149"/>
    <d v="2024-12-04T00:00:00"/>
    <x v="1"/>
    <x v="2"/>
    <x v="2"/>
    <s v="CUST7042"/>
    <x v="0"/>
  </r>
  <r>
    <s v="ORD0156"/>
    <x v="1"/>
    <x v="0"/>
    <n v="6"/>
    <n v="21"/>
    <x v="154"/>
    <x v="150"/>
    <d v="2023-07-20T00:00:00"/>
    <x v="0"/>
    <x v="1"/>
    <x v="3"/>
    <s v="CUST7132"/>
    <x v="1"/>
  </r>
  <r>
    <s v="ORD0157"/>
    <x v="27"/>
    <x v="1"/>
    <n v="4"/>
    <n v="303.38"/>
    <x v="155"/>
    <x v="151"/>
    <d v="2025-01-21T00:00:00"/>
    <x v="3"/>
    <x v="3"/>
    <x v="3"/>
    <s v="CUST1924"/>
    <x v="1"/>
  </r>
  <r>
    <s v="ORD0158"/>
    <x v="2"/>
    <x v="1"/>
    <n v="3"/>
    <n v="412.16"/>
    <x v="156"/>
    <x v="45"/>
    <d v="2024-08-16T00:00:00"/>
    <x v="4"/>
    <x v="0"/>
    <x v="1"/>
    <s v="CUST8026"/>
    <x v="1"/>
  </r>
  <r>
    <s v="ORD0159"/>
    <x v="14"/>
    <x v="4"/>
    <n v="5"/>
    <n v="308.64"/>
    <x v="157"/>
    <x v="152"/>
    <d v="2024-03-25T00:00:00"/>
    <x v="6"/>
    <x v="2"/>
    <x v="3"/>
    <s v="CUST1009"/>
    <x v="1"/>
  </r>
  <r>
    <s v="ORD0160"/>
    <x v="24"/>
    <x v="5"/>
    <n v="8"/>
    <n v="438.95"/>
    <x v="158"/>
    <x v="153"/>
    <d v="2023-09-08T00:00:00"/>
    <x v="4"/>
    <x v="3"/>
    <x v="2"/>
    <s v="CUST6124"/>
    <x v="0"/>
  </r>
  <r>
    <s v="ORD0161"/>
    <x v="25"/>
    <x v="4"/>
    <n v="7"/>
    <n v="208.57"/>
    <x v="159"/>
    <x v="154"/>
    <d v="2024-01-09T00:00:00"/>
    <x v="3"/>
    <x v="0"/>
    <x v="0"/>
    <s v="CUST3193"/>
    <x v="1"/>
  </r>
  <r>
    <s v="ORD0162"/>
    <x v="18"/>
    <x v="4"/>
    <n v="1"/>
    <n v="191.49"/>
    <x v="160"/>
    <x v="155"/>
    <d v="2023-10-09T00:00:00"/>
    <x v="6"/>
    <x v="0"/>
    <x v="2"/>
    <s v="CUST5158"/>
    <x v="1"/>
  </r>
  <r>
    <s v="ORD0163"/>
    <x v="17"/>
    <x v="1"/>
    <n v="9"/>
    <n v="485.11"/>
    <x v="161"/>
    <x v="156"/>
    <d v="2025-03-05T00:00:00"/>
    <x v="1"/>
    <x v="3"/>
    <x v="1"/>
    <s v="CUST5784"/>
    <x v="0"/>
  </r>
  <r>
    <s v="ORD0164"/>
    <x v="25"/>
    <x v="4"/>
    <n v="1"/>
    <n v="237"/>
    <x v="162"/>
    <x v="157"/>
    <d v="2023-04-09T00:00:00"/>
    <x v="2"/>
    <x v="1"/>
    <x v="0"/>
    <s v="CUST9702"/>
    <x v="1"/>
  </r>
  <r>
    <s v="ORD0165"/>
    <x v="26"/>
    <x v="0"/>
    <n v="1"/>
    <n v="11.77"/>
    <x v="163"/>
    <x v="158"/>
    <d v="2025-04-02T00:00:00"/>
    <x v="1"/>
    <x v="3"/>
    <x v="1"/>
    <s v="CUST3000"/>
    <x v="1"/>
  </r>
  <r>
    <s v="ORD0166"/>
    <x v="25"/>
    <x v="4"/>
    <n v="5"/>
    <n v="499.86"/>
    <x v="164"/>
    <x v="159"/>
    <d v="2025-05-19T00:00:00"/>
    <x v="6"/>
    <x v="1"/>
    <x v="3"/>
    <s v="CUST2460"/>
    <x v="0"/>
  </r>
  <r>
    <s v="ORD0167"/>
    <x v="20"/>
    <x v="3"/>
    <n v="7"/>
    <n v="385.65"/>
    <x v="165"/>
    <x v="160"/>
    <d v="2024-11-07T00:00:00"/>
    <x v="0"/>
    <x v="0"/>
    <x v="2"/>
    <s v="CUST5809"/>
    <x v="0"/>
  </r>
  <r>
    <s v="ORD0168"/>
    <x v="15"/>
    <x v="2"/>
    <n v="3"/>
    <n v="127.44"/>
    <x v="166"/>
    <x v="161"/>
    <d v="2023-03-19T00:00:00"/>
    <x v="2"/>
    <x v="3"/>
    <x v="0"/>
    <s v="CUST7600"/>
    <x v="1"/>
  </r>
  <r>
    <s v="ORD0169"/>
    <x v="20"/>
    <x v="3"/>
    <n v="1"/>
    <n v="477.26"/>
    <x v="167"/>
    <x v="162"/>
    <d v="2024-12-17T00:00:00"/>
    <x v="3"/>
    <x v="0"/>
    <x v="1"/>
    <s v="CUST8939"/>
    <x v="1"/>
  </r>
  <r>
    <s v="ORD0170"/>
    <x v="5"/>
    <x v="1"/>
    <n v="1"/>
    <n v="337.49"/>
    <x v="168"/>
    <x v="163"/>
    <d v="2025-03-10T00:00:00"/>
    <x v="6"/>
    <x v="1"/>
    <x v="3"/>
    <s v="CUST4419"/>
    <x v="1"/>
  </r>
  <r>
    <s v="ORD0171"/>
    <x v="14"/>
    <x v="4"/>
    <n v="8"/>
    <n v="15.98"/>
    <x v="169"/>
    <x v="164"/>
    <d v="2023-09-07T00:00:00"/>
    <x v="0"/>
    <x v="2"/>
    <x v="2"/>
    <s v="CUST9865"/>
    <x v="1"/>
  </r>
  <r>
    <s v="ORD0172"/>
    <x v="10"/>
    <x v="3"/>
    <n v="6"/>
    <n v="387.3"/>
    <x v="170"/>
    <x v="165"/>
    <d v="2025-06-09T00:00:00"/>
    <x v="6"/>
    <x v="2"/>
    <x v="2"/>
    <s v="CUST5363"/>
    <x v="0"/>
  </r>
  <r>
    <s v="ORD0173"/>
    <x v="21"/>
    <x v="5"/>
    <n v="1"/>
    <n v="278.19"/>
    <x v="171"/>
    <x v="166"/>
    <d v="2024-01-24T00:00:00"/>
    <x v="1"/>
    <x v="2"/>
    <x v="3"/>
    <s v="CUST8901"/>
    <x v="1"/>
  </r>
  <r>
    <s v="ORD0174"/>
    <x v="0"/>
    <x v="0"/>
    <n v="9"/>
    <n v="297.02999999999997"/>
    <x v="172"/>
    <x v="167"/>
    <d v="2025-02-05T00:00:00"/>
    <x v="1"/>
    <x v="2"/>
    <x v="3"/>
    <s v="CUST4374"/>
    <x v="0"/>
  </r>
  <r>
    <s v="ORD0175"/>
    <x v="0"/>
    <x v="0"/>
    <n v="7"/>
    <n v="378.79"/>
    <x v="173"/>
    <x v="168"/>
    <d v="2025-05-02T00:00:00"/>
    <x v="4"/>
    <x v="1"/>
    <x v="3"/>
    <s v="CUST5673"/>
    <x v="0"/>
  </r>
  <r>
    <s v="ORD0176"/>
    <x v="24"/>
    <x v="5"/>
    <n v="3"/>
    <n v="452.06"/>
    <x v="174"/>
    <x v="169"/>
    <d v="2024-12-04T00:00:00"/>
    <x v="1"/>
    <x v="1"/>
    <x v="1"/>
    <s v="CUST7881"/>
    <x v="1"/>
  </r>
  <r>
    <s v="ORD0177"/>
    <x v="29"/>
    <x v="5"/>
    <n v="6"/>
    <n v="306"/>
    <x v="175"/>
    <x v="170"/>
    <d v="2025-04-29T00:00:00"/>
    <x v="3"/>
    <x v="2"/>
    <x v="2"/>
    <s v="CUST7941"/>
    <x v="1"/>
  </r>
  <r>
    <s v="ORD0178"/>
    <x v="28"/>
    <x v="3"/>
    <n v="3"/>
    <n v="452.56"/>
    <x v="176"/>
    <x v="171"/>
    <d v="2023-11-04T00:00:00"/>
    <x v="5"/>
    <x v="2"/>
    <x v="2"/>
    <s v="CUST5261"/>
    <x v="1"/>
  </r>
  <r>
    <s v="ORD0179"/>
    <x v="3"/>
    <x v="1"/>
    <n v="1"/>
    <n v="392.91"/>
    <x v="177"/>
    <x v="172"/>
    <d v="2024-06-25T00:00:00"/>
    <x v="3"/>
    <x v="2"/>
    <x v="2"/>
    <s v="CUST5854"/>
    <x v="1"/>
  </r>
  <r>
    <s v="ORD0180"/>
    <x v="20"/>
    <x v="3"/>
    <n v="3"/>
    <n v="350.33"/>
    <x v="178"/>
    <x v="173"/>
    <d v="2025-03-07T00:00:00"/>
    <x v="4"/>
    <x v="0"/>
    <x v="2"/>
    <s v="CUST8043"/>
    <x v="1"/>
  </r>
  <r>
    <s v="ORD0181"/>
    <x v="7"/>
    <x v="2"/>
    <n v="8"/>
    <n v="421.84"/>
    <x v="179"/>
    <x v="174"/>
    <d v="2025-02-23T00:00:00"/>
    <x v="2"/>
    <x v="3"/>
    <x v="0"/>
    <s v="CUST4579"/>
    <x v="0"/>
  </r>
  <r>
    <s v="ORD0182"/>
    <x v="23"/>
    <x v="4"/>
    <n v="4"/>
    <n v="232.27"/>
    <x v="180"/>
    <x v="175"/>
    <d v="2024-06-29T00:00:00"/>
    <x v="5"/>
    <x v="3"/>
    <x v="2"/>
    <s v="CUST8941"/>
    <x v="1"/>
  </r>
  <r>
    <s v="ORD0183"/>
    <x v="7"/>
    <x v="2"/>
    <n v="5"/>
    <n v="176.97"/>
    <x v="181"/>
    <x v="176"/>
    <d v="2023-05-06T00:00:00"/>
    <x v="5"/>
    <x v="1"/>
    <x v="1"/>
    <s v="CUST4818"/>
    <x v="1"/>
  </r>
  <r>
    <s v="ORD0184"/>
    <x v="5"/>
    <x v="1"/>
    <n v="3"/>
    <n v="270.95"/>
    <x v="182"/>
    <x v="177"/>
    <d v="2024-10-24T00:00:00"/>
    <x v="0"/>
    <x v="3"/>
    <x v="1"/>
    <s v="CUST8350"/>
    <x v="1"/>
  </r>
  <r>
    <s v="ORD0185"/>
    <x v="6"/>
    <x v="0"/>
    <n v="6"/>
    <n v="350.35"/>
    <x v="183"/>
    <x v="178"/>
    <d v="2025-06-18T00:00:00"/>
    <x v="1"/>
    <x v="0"/>
    <x v="1"/>
    <s v="CUST9472"/>
    <x v="0"/>
  </r>
  <r>
    <s v="ORD0186"/>
    <x v="21"/>
    <x v="5"/>
    <n v="3"/>
    <n v="437.79"/>
    <x v="184"/>
    <x v="179"/>
    <d v="2024-10-28T00:00:00"/>
    <x v="6"/>
    <x v="3"/>
    <x v="3"/>
    <s v="CUST5188"/>
    <x v="1"/>
  </r>
  <r>
    <s v="ORD0187"/>
    <x v="4"/>
    <x v="0"/>
    <n v="2"/>
    <n v="302.95999999999998"/>
    <x v="185"/>
    <x v="180"/>
    <d v="2023-02-20T00:00:00"/>
    <x v="6"/>
    <x v="1"/>
    <x v="0"/>
    <s v="CUST8570"/>
    <x v="1"/>
  </r>
  <r>
    <s v="ORD0188"/>
    <x v="15"/>
    <x v="2"/>
    <n v="5"/>
    <n v="88.62"/>
    <x v="186"/>
    <x v="181"/>
    <d v="2024-08-26T00:00:00"/>
    <x v="6"/>
    <x v="3"/>
    <x v="2"/>
    <s v="CUST5777"/>
    <x v="1"/>
  </r>
  <r>
    <s v="ORD0189"/>
    <x v="23"/>
    <x v="4"/>
    <n v="6"/>
    <n v="48.91"/>
    <x v="187"/>
    <x v="182"/>
    <d v="2024-05-27T00:00:00"/>
    <x v="6"/>
    <x v="1"/>
    <x v="3"/>
    <s v="CUST7376"/>
    <x v="1"/>
  </r>
  <r>
    <s v="ORD0190"/>
    <x v="11"/>
    <x v="4"/>
    <n v="2"/>
    <n v="68.73"/>
    <x v="188"/>
    <x v="183"/>
    <d v="2024-12-30T00:00:00"/>
    <x v="6"/>
    <x v="3"/>
    <x v="0"/>
    <s v="CUST8240"/>
    <x v="1"/>
  </r>
  <r>
    <s v="ORD0191"/>
    <x v="12"/>
    <x v="5"/>
    <n v="9"/>
    <n v="243.17"/>
    <x v="189"/>
    <x v="184"/>
    <d v="2023-08-02T00:00:00"/>
    <x v="1"/>
    <x v="2"/>
    <x v="3"/>
    <s v="CUST7493"/>
    <x v="0"/>
  </r>
  <r>
    <s v="ORD0192"/>
    <x v="10"/>
    <x v="3"/>
    <n v="1"/>
    <n v="142.05000000000001"/>
    <x v="190"/>
    <x v="185"/>
    <d v="2023-09-14T00:00:00"/>
    <x v="0"/>
    <x v="2"/>
    <x v="2"/>
    <s v="CUST2276"/>
    <x v="1"/>
  </r>
  <r>
    <s v="ORD0193"/>
    <x v="25"/>
    <x v="4"/>
    <n v="4"/>
    <n v="108.63"/>
    <x v="191"/>
    <x v="186"/>
    <d v="2024-09-30T00:00:00"/>
    <x v="6"/>
    <x v="0"/>
    <x v="2"/>
    <s v="CUST1055"/>
    <x v="1"/>
  </r>
  <r>
    <s v="ORD0194"/>
    <x v="28"/>
    <x v="3"/>
    <n v="6"/>
    <n v="121.88"/>
    <x v="192"/>
    <x v="187"/>
    <d v="2023-01-28T00:00:00"/>
    <x v="5"/>
    <x v="2"/>
    <x v="0"/>
    <s v="CUST9150"/>
    <x v="1"/>
  </r>
  <r>
    <s v="ORD0195"/>
    <x v="14"/>
    <x v="4"/>
    <n v="8"/>
    <n v="361.66"/>
    <x v="193"/>
    <x v="188"/>
    <d v="2024-10-27T00:00:00"/>
    <x v="2"/>
    <x v="2"/>
    <x v="1"/>
    <s v="CUST5621"/>
    <x v="0"/>
  </r>
  <r>
    <s v="ORD0196"/>
    <x v="9"/>
    <x v="2"/>
    <n v="8"/>
    <n v="70.89"/>
    <x v="194"/>
    <x v="62"/>
    <d v="2023-01-03T00:00:00"/>
    <x v="3"/>
    <x v="2"/>
    <x v="1"/>
    <s v="CUST2646"/>
    <x v="1"/>
  </r>
  <r>
    <s v="ORD0197"/>
    <x v="9"/>
    <x v="2"/>
    <n v="7"/>
    <n v="258.27999999999997"/>
    <x v="195"/>
    <x v="189"/>
    <d v="2025-01-20T00:00:00"/>
    <x v="6"/>
    <x v="0"/>
    <x v="0"/>
    <s v="CUST2531"/>
    <x v="1"/>
  </r>
  <r>
    <s v="ORD0198"/>
    <x v="10"/>
    <x v="3"/>
    <n v="2"/>
    <n v="226.47"/>
    <x v="196"/>
    <x v="190"/>
    <d v="2025-01-08T00:00:00"/>
    <x v="1"/>
    <x v="3"/>
    <x v="0"/>
    <s v="CUST2906"/>
    <x v="1"/>
  </r>
  <r>
    <s v="ORD0199"/>
    <x v="3"/>
    <x v="1"/>
    <n v="9"/>
    <n v="370.02"/>
    <x v="197"/>
    <x v="191"/>
    <d v="2023-01-28T00:00:00"/>
    <x v="5"/>
    <x v="2"/>
    <x v="0"/>
    <s v="CUST9905"/>
    <x v="0"/>
  </r>
  <r>
    <s v="ORD0200"/>
    <x v="8"/>
    <x v="2"/>
    <n v="7"/>
    <n v="164.43"/>
    <x v="198"/>
    <x v="192"/>
    <d v="2023-08-19T00:00:00"/>
    <x v="5"/>
    <x v="2"/>
    <x v="1"/>
    <s v="CUST7229"/>
    <x v="1"/>
  </r>
  <r>
    <s v="ORD0201"/>
    <x v="29"/>
    <x v="5"/>
    <n v="9"/>
    <n v="445.81"/>
    <x v="199"/>
    <x v="193"/>
    <d v="2023-07-31T00:00:00"/>
    <x v="6"/>
    <x v="0"/>
    <x v="0"/>
    <s v="CUST7168"/>
    <x v="0"/>
  </r>
  <r>
    <s v="ORD0202"/>
    <x v="5"/>
    <x v="1"/>
    <n v="4"/>
    <n v="180.78"/>
    <x v="200"/>
    <x v="194"/>
    <d v="2023-08-21T00:00:00"/>
    <x v="6"/>
    <x v="1"/>
    <x v="0"/>
    <s v="CUST7371"/>
    <x v="1"/>
  </r>
  <r>
    <s v="ORD0203"/>
    <x v="13"/>
    <x v="5"/>
    <n v="6"/>
    <n v="295.49"/>
    <x v="201"/>
    <x v="85"/>
    <d v="2025-02-14T00:00:00"/>
    <x v="4"/>
    <x v="0"/>
    <x v="0"/>
    <s v="CUST7891"/>
    <x v="1"/>
  </r>
  <r>
    <s v="ORD0204"/>
    <x v="28"/>
    <x v="3"/>
    <n v="3"/>
    <n v="192.49"/>
    <x v="202"/>
    <x v="195"/>
    <d v="2024-09-04T00:00:00"/>
    <x v="1"/>
    <x v="2"/>
    <x v="2"/>
    <s v="CUST3739"/>
    <x v="1"/>
  </r>
  <r>
    <s v="ORD0205"/>
    <x v="27"/>
    <x v="1"/>
    <n v="2"/>
    <n v="125.95"/>
    <x v="203"/>
    <x v="123"/>
    <d v="2023-11-11T00:00:00"/>
    <x v="5"/>
    <x v="2"/>
    <x v="0"/>
    <s v="CUST1876"/>
    <x v="1"/>
  </r>
  <r>
    <s v="ORD0206"/>
    <x v="20"/>
    <x v="3"/>
    <n v="6"/>
    <n v="304.86"/>
    <x v="204"/>
    <x v="196"/>
    <d v="2023-10-16T00:00:00"/>
    <x v="6"/>
    <x v="0"/>
    <x v="3"/>
    <s v="CUST2460"/>
    <x v="1"/>
  </r>
  <r>
    <s v="ORD0207"/>
    <x v="20"/>
    <x v="3"/>
    <n v="6"/>
    <n v="116.54"/>
    <x v="205"/>
    <x v="197"/>
    <d v="2024-08-04T00:00:00"/>
    <x v="2"/>
    <x v="2"/>
    <x v="1"/>
    <s v="CUST6622"/>
    <x v="1"/>
  </r>
  <r>
    <s v="ORD0208"/>
    <x v="5"/>
    <x v="1"/>
    <n v="4"/>
    <n v="426.15"/>
    <x v="206"/>
    <x v="198"/>
    <d v="2024-03-21T00:00:00"/>
    <x v="0"/>
    <x v="3"/>
    <x v="1"/>
    <s v="CUST4735"/>
    <x v="1"/>
  </r>
  <r>
    <s v="ORD0209"/>
    <x v="12"/>
    <x v="5"/>
    <n v="7"/>
    <n v="421.95"/>
    <x v="207"/>
    <x v="199"/>
    <d v="2025-06-17T00:00:00"/>
    <x v="3"/>
    <x v="2"/>
    <x v="2"/>
    <s v="CUST9434"/>
    <x v="0"/>
  </r>
  <r>
    <s v="ORD0210"/>
    <x v="16"/>
    <x v="3"/>
    <n v="8"/>
    <n v="350"/>
    <x v="208"/>
    <x v="200"/>
    <d v="2025-07-08T00:00:00"/>
    <x v="3"/>
    <x v="2"/>
    <x v="2"/>
    <s v="CUST6342"/>
    <x v="0"/>
  </r>
  <r>
    <s v="ORD0211"/>
    <x v="7"/>
    <x v="2"/>
    <n v="6"/>
    <n v="201.94"/>
    <x v="209"/>
    <x v="201"/>
    <d v="2025-01-01T00:00:00"/>
    <x v="1"/>
    <x v="1"/>
    <x v="0"/>
    <s v="CUST9195"/>
    <x v="1"/>
  </r>
  <r>
    <s v="ORD0212"/>
    <x v="25"/>
    <x v="4"/>
    <n v="6"/>
    <n v="487.66"/>
    <x v="210"/>
    <x v="202"/>
    <d v="2024-08-28T00:00:00"/>
    <x v="1"/>
    <x v="3"/>
    <x v="2"/>
    <s v="CUST3551"/>
    <x v="0"/>
  </r>
  <r>
    <s v="ORD0213"/>
    <x v="2"/>
    <x v="1"/>
    <n v="6"/>
    <n v="335.98"/>
    <x v="211"/>
    <x v="203"/>
    <d v="2024-03-16T00:00:00"/>
    <x v="5"/>
    <x v="3"/>
    <x v="1"/>
    <s v="CUST5289"/>
    <x v="0"/>
  </r>
  <r>
    <s v="ORD0214"/>
    <x v="4"/>
    <x v="0"/>
    <n v="8"/>
    <n v="240.93"/>
    <x v="212"/>
    <x v="204"/>
    <d v="2023-06-22T00:00:00"/>
    <x v="0"/>
    <x v="0"/>
    <x v="2"/>
    <s v="CUST7469"/>
    <x v="1"/>
  </r>
  <r>
    <s v="ORD0215"/>
    <x v="18"/>
    <x v="4"/>
    <n v="6"/>
    <n v="356.92"/>
    <x v="213"/>
    <x v="205"/>
    <d v="2024-12-24T00:00:00"/>
    <x v="3"/>
    <x v="0"/>
    <x v="3"/>
    <s v="CUST1224"/>
    <x v="0"/>
  </r>
  <r>
    <s v="ORD0216"/>
    <x v="24"/>
    <x v="5"/>
    <n v="4"/>
    <n v="124.99"/>
    <x v="214"/>
    <x v="206"/>
    <d v="2024-07-12T00:00:00"/>
    <x v="4"/>
    <x v="3"/>
    <x v="0"/>
    <s v="CUST3048"/>
    <x v="1"/>
  </r>
  <r>
    <s v="ORD0217"/>
    <x v="17"/>
    <x v="1"/>
    <n v="6"/>
    <n v="292.70999999999998"/>
    <x v="215"/>
    <x v="207"/>
    <d v="2023-05-19T00:00:00"/>
    <x v="4"/>
    <x v="3"/>
    <x v="2"/>
    <s v="CUST7988"/>
    <x v="1"/>
  </r>
  <r>
    <s v="ORD0218"/>
    <x v="2"/>
    <x v="1"/>
    <n v="3"/>
    <n v="30.65"/>
    <x v="216"/>
    <x v="208"/>
    <d v="2024-11-20T00:00:00"/>
    <x v="1"/>
    <x v="1"/>
    <x v="2"/>
    <s v="CUST1009"/>
    <x v="1"/>
  </r>
  <r>
    <s v="ORD0219"/>
    <x v="10"/>
    <x v="3"/>
    <n v="5"/>
    <n v="36.369999999999997"/>
    <x v="217"/>
    <x v="209"/>
    <d v="2023-06-21T00:00:00"/>
    <x v="1"/>
    <x v="0"/>
    <x v="0"/>
    <s v="CUST8041"/>
    <x v="1"/>
  </r>
  <r>
    <s v="ORD0220"/>
    <x v="18"/>
    <x v="4"/>
    <n v="8"/>
    <n v="405.89"/>
    <x v="218"/>
    <x v="210"/>
    <d v="2023-11-17T00:00:00"/>
    <x v="4"/>
    <x v="0"/>
    <x v="3"/>
    <s v="CUST2342"/>
    <x v="0"/>
  </r>
  <r>
    <s v="ORD0221"/>
    <x v="23"/>
    <x v="4"/>
    <n v="5"/>
    <n v="6.34"/>
    <x v="219"/>
    <x v="120"/>
    <d v="2025-02-15T00:00:00"/>
    <x v="5"/>
    <x v="2"/>
    <x v="2"/>
    <s v="CUST2994"/>
    <x v="1"/>
  </r>
  <r>
    <s v="ORD0222"/>
    <x v="20"/>
    <x v="3"/>
    <n v="8"/>
    <n v="305.02"/>
    <x v="220"/>
    <x v="211"/>
    <d v="2024-02-23T00:00:00"/>
    <x v="4"/>
    <x v="0"/>
    <x v="3"/>
    <s v="CUST8984"/>
    <x v="0"/>
  </r>
  <r>
    <s v="ORD0223"/>
    <x v="17"/>
    <x v="1"/>
    <n v="5"/>
    <n v="416.16"/>
    <x v="221"/>
    <x v="212"/>
    <d v="2023-08-24T00:00:00"/>
    <x v="0"/>
    <x v="0"/>
    <x v="1"/>
    <s v="CUST2908"/>
    <x v="0"/>
  </r>
  <r>
    <s v="ORD0224"/>
    <x v="16"/>
    <x v="3"/>
    <n v="8"/>
    <n v="495.51"/>
    <x v="222"/>
    <x v="213"/>
    <d v="2025-07-18T00:00:00"/>
    <x v="4"/>
    <x v="1"/>
    <x v="3"/>
    <s v="CUST3635"/>
    <x v="0"/>
  </r>
  <r>
    <s v="ORD0225"/>
    <x v="1"/>
    <x v="0"/>
    <n v="3"/>
    <n v="37.92"/>
    <x v="223"/>
    <x v="214"/>
    <d v="2023-10-23T00:00:00"/>
    <x v="6"/>
    <x v="0"/>
    <x v="1"/>
    <s v="CUST4391"/>
    <x v="1"/>
  </r>
  <r>
    <s v="ORD0226"/>
    <x v="7"/>
    <x v="2"/>
    <n v="6"/>
    <n v="28.81"/>
    <x v="224"/>
    <x v="215"/>
    <d v="2023-12-15T00:00:00"/>
    <x v="4"/>
    <x v="1"/>
    <x v="0"/>
    <s v="CUST9007"/>
    <x v="1"/>
  </r>
  <r>
    <s v="ORD0227"/>
    <x v="28"/>
    <x v="3"/>
    <n v="9"/>
    <n v="376.5"/>
    <x v="225"/>
    <x v="216"/>
    <d v="2025-04-07T00:00:00"/>
    <x v="6"/>
    <x v="0"/>
    <x v="2"/>
    <s v="CUST7941"/>
    <x v="0"/>
  </r>
  <r>
    <s v="ORD0228"/>
    <x v="16"/>
    <x v="3"/>
    <n v="3"/>
    <n v="86.31"/>
    <x v="226"/>
    <x v="217"/>
    <d v="2023-01-05T00:00:00"/>
    <x v="0"/>
    <x v="3"/>
    <x v="2"/>
    <s v="CUST3898"/>
    <x v="1"/>
  </r>
  <r>
    <s v="ORD0229"/>
    <x v="11"/>
    <x v="4"/>
    <n v="4"/>
    <n v="161.52000000000001"/>
    <x v="227"/>
    <x v="218"/>
    <d v="2023-02-11T00:00:00"/>
    <x v="5"/>
    <x v="2"/>
    <x v="0"/>
    <s v="CUST3136"/>
    <x v="1"/>
  </r>
  <r>
    <s v="ORD0230"/>
    <x v="13"/>
    <x v="5"/>
    <n v="2"/>
    <n v="409.22"/>
    <x v="228"/>
    <x v="219"/>
    <d v="2023-10-22T00:00:00"/>
    <x v="2"/>
    <x v="0"/>
    <x v="1"/>
    <s v="CUST7943"/>
    <x v="1"/>
  </r>
  <r>
    <s v="ORD0231"/>
    <x v="2"/>
    <x v="1"/>
    <n v="3"/>
    <n v="313.93"/>
    <x v="229"/>
    <x v="220"/>
    <d v="2025-05-14T00:00:00"/>
    <x v="1"/>
    <x v="1"/>
    <x v="3"/>
    <s v="CUST6142"/>
    <x v="1"/>
  </r>
  <r>
    <s v="ORD0232"/>
    <x v="10"/>
    <x v="3"/>
    <n v="1"/>
    <n v="119.95"/>
    <x v="230"/>
    <x v="221"/>
    <d v="2023-08-13T00:00:00"/>
    <x v="2"/>
    <x v="2"/>
    <x v="3"/>
    <s v="CUST5033"/>
    <x v="1"/>
  </r>
  <r>
    <s v="ORD0233"/>
    <x v="11"/>
    <x v="4"/>
    <n v="5"/>
    <n v="453.7"/>
    <x v="231"/>
    <x v="222"/>
    <d v="2025-08-04T00:00:00"/>
    <x v="6"/>
    <x v="0"/>
    <x v="3"/>
    <s v="CUST2970"/>
    <x v="0"/>
  </r>
  <r>
    <s v="ORD0234"/>
    <x v="1"/>
    <x v="0"/>
    <n v="6"/>
    <n v="470.22"/>
    <x v="232"/>
    <x v="23"/>
    <d v="2024-01-26T00:00:00"/>
    <x v="4"/>
    <x v="2"/>
    <x v="1"/>
    <s v="CUST2202"/>
    <x v="0"/>
  </r>
  <r>
    <s v="ORD0235"/>
    <x v="12"/>
    <x v="5"/>
    <n v="8"/>
    <n v="348.39"/>
    <x v="233"/>
    <x v="223"/>
    <d v="2024-05-14T00:00:00"/>
    <x v="3"/>
    <x v="1"/>
    <x v="2"/>
    <s v="CUST6742"/>
    <x v="0"/>
  </r>
  <r>
    <s v="ORD0236"/>
    <x v="10"/>
    <x v="3"/>
    <n v="1"/>
    <n v="269.06"/>
    <x v="234"/>
    <x v="224"/>
    <d v="2023-08-19T00:00:00"/>
    <x v="5"/>
    <x v="0"/>
    <x v="2"/>
    <s v="CUST1922"/>
    <x v="1"/>
  </r>
  <r>
    <s v="ORD0237"/>
    <x v="7"/>
    <x v="2"/>
    <n v="4"/>
    <n v="498.86"/>
    <x v="235"/>
    <x v="225"/>
    <d v="2024-03-16T00:00:00"/>
    <x v="5"/>
    <x v="2"/>
    <x v="2"/>
    <s v="CUST2120"/>
    <x v="1"/>
  </r>
  <r>
    <s v="ORD0238"/>
    <x v="21"/>
    <x v="5"/>
    <n v="5"/>
    <n v="390.39"/>
    <x v="236"/>
    <x v="226"/>
    <d v="2023-10-16T00:00:00"/>
    <x v="6"/>
    <x v="3"/>
    <x v="3"/>
    <s v="CUST6373"/>
    <x v="1"/>
  </r>
  <r>
    <s v="ORD0239"/>
    <x v="20"/>
    <x v="3"/>
    <n v="4"/>
    <n v="287.10000000000002"/>
    <x v="237"/>
    <x v="227"/>
    <d v="2024-06-05T00:00:00"/>
    <x v="1"/>
    <x v="2"/>
    <x v="3"/>
    <s v="CUST5612"/>
    <x v="1"/>
  </r>
  <r>
    <s v="ORD0240"/>
    <x v="11"/>
    <x v="4"/>
    <n v="1"/>
    <n v="55.94"/>
    <x v="238"/>
    <x v="129"/>
    <d v="2025-06-27T00:00:00"/>
    <x v="4"/>
    <x v="3"/>
    <x v="3"/>
    <s v="CUST8326"/>
    <x v="1"/>
  </r>
  <r>
    <s v="ORD0241"/>
    <x v="28"/>
    <x v="3"/>
    <n v="4"/>
    <n v="231.22"/>
    <x v="239"/>
    <x v="228"/>
    <d v="2025-08-05T00:00:00"/>
    <x v="3"/>
    <x v="1"/>
    <x v="3"/>
    <s v="CUST8863"/>
    <x v="1"/>
  </r>
  <r>
    <s v="ORD0242"/>
    <x v="9"/>
    <x v="2"/>
    <n v="8"/>
    <n v="79.209999999999994"/>
    <x v="240"/>
    <x v="229"/>
    <d v="2023-02-16T00:00:00"/>
    <x v="0"/>
    <x v="2"/>
    <x v="0"/>
    <s v="CUST3371"/>
    <x v="1"/>
  </r>
  <r>
    <s v="ORD0243"/>
    <x v="23"/>
    <x v="4"/>
    <n v="2"/>
    <n v="11.04"/>
    <x v="241"/>
    <x v="230"/>
    <d v="2024-09-18T00:00:00"/>
    <x v="1"/>
    <x v="3"/>
    <x v="3"/>
    <s v="CUST7898"/>
    <x v="1"/>
  </r>
  <r>
    <s v="ORD0244"/>
    <x v="5"/>
    <x v="1"/>
    <n v="4"/>
    <n v="273.64999999999998"/>
    <x v="242"/>
    <x v="231"/>
    <d v="2025-03-21T00:00:00"/>
    <x v="4"/>
    <x v="0"/>
    <x v="0"/>
    <s v="CUST3116"/>
    <x v="1"/>
  </r>
  <r>
    <s v="ORD0245"/>
    <x v="27"/>
    <x v="1"/>
    <n v="4"/>
    <n v="94.89"/>
    <x v="243"/>
    <x v="232"/>
    <d v="2025-04-21T00:00:00"/>
    <x v="6"/>
    <x v="2"/>
    <x v="1"/>
    <s v="CUST7166"/>
    <x v="1"/>
  </r>
  <r>
    <s v="ORD0246"/>
    <x v="21"/>
    <x v="5"/>
    <n v="8"/>
    <n v="255.41"/>
    <x v="244"/>
    <x v="233"/>
    <d v="2025-09-11T00:00:00"/>
    <x v="0"/>
    <x v="1"/>
    <x v="3"/>
    <s v="CUST8790"/>
    <x v="0"/>
  </r>
  <r>
    <s v="ORD0247"/>
    <x v="6"/>
    <x v="0"/>
    <n v="8"/>
    <n v="436.7"/>
    <x v="245"/>
    <x v="234"/>
    <d v="2024-04-04T00:00:00"/>
    <x v="0"/>
    <x v="2"/>
    <x v="3"/>
    <s v="CUST8147"/>
    <x v="0"/>
  </r>
  <r>
    <s v="ORD0248"/>
    <x v="25"/>
    <x v="4"/>
    <n v="4"/>
    <n v="459.78"/>
    <x v="246"/>
    <x v="15"/>
    <d v="2023-05-13T00:00:00"/>
    <x v="5"/>
    <x v="0"/>
    <x v="1"/>
    <s v="CUST4876"/>
    <x v="1"/>
  </r>
  <r>
    <s v="ORD0249"/>
    <x v="3"/>
    <x v="1"/>
    <n v="8"/>
    <n v="327.43"/>
    <x v="247"/>
    <x v="235"/>
    <d v="2024-08-26T00:00:00"/>
    <x v="6"/>
    <x v="0"/>
    <x v="1"/>
    <s v="CUST7024"/>
    <x v="0"/>
  </r>
  <r>
    <s v="ORD0250"/>
    <x v="29"/>
    <x v="5"/>
    <n v="6"/>
    <n v="43.27"/>
    <x v="248"/>
    <x v="236"/>
    <d v="2024-04-06T00:00:00"/>
    <x v="5"/>
    <x v="3"/>
    <x v="0"/>
    <s v="CUST4368"/>
    <x v="1"/>
  </r>
  <r>
    <s v="ORD0251"/>
    <x v="15"/>
    <x v="2"/>
    <n v="6"/>
    <n v="455.79"/>
    <x v="249"/>
    <x v="237"/>
    <d v="2025-02-07T00:00:00"/>
    <x v="4"/>
    <x v="2"/>
    <x v="1"/>
    <s v="CUST6732"/>
    <x v="0"/>
  </r>
  <r>
    <s v="ORD0252"/>
    <x v="5"/>
    <x v="1"/>
    <n v="5"/>
    <n v="86.93"/>
    <x v="250"/>
    <x v="186"/>
    <d v="2024-02-24T00:00:00"/>
    <x v="5"/>
    <x v="2"/>
    <x v="1"/>
    <s v="CUST4030"/>
    <x v="1"/>
  </r>
  <r>
    <s v="ORD0253"/>
    <x v="16"/>
    <x v="3"/>
    <n v="9"/>
    <n v="169.41"/>
    <x v="251"/>
    <x v="238"/>
    <d v="2025-08-07T00:00:00"/>
    <x v="0"/>
    <x v="2"/>
    <x v="2"/>
    <s v="CUST5662"/>
    <x v="1"/>
  </r>
  <r>
    <s v="ORD0254"/>
    <x v="14"/>
    <x v="4"/>
    <n v="3"/>
    <n v="297.68"/>
    <x v="252"/>
    <x v="25"/>
    <d v="2024-10-22T00:00:00"/>
    <x v="3"/>
    <x v="2"/>
    <x v="3"/>
    <s v="CUST8112"/>
    <x v="1"/>
  </r>
  <r>
    <s v="ORD0255"/>
    <x v="14"/>
    <x v="4"/>
    <n v="5"/>
    <n v="170.92"/>
    <x v="253"/>
    <x v="239"/>
    <d v="2024-03-11T00:00:00"/>
    <x v="6"/>
    <x v="0"/>
    <x v="2"/>
    <s v="CUST7456"/>
    <x v="1"/>
  </r>
  <r>
    <s v="ORD0256"/>
    <x v="11"/>
    <x v="4"/>
    <n v="5"/>
    <n v="303.83999999999997"/>
    <x v="254"/>
    <x v="94"/>
    <d v="2025-03-13T00:00:00"/>
    <x v="0"/>
    <x v="2"/>
    <x v="0"/>
    <s v="CUST9766"/>
    <x v="1"/>
  </r>
  <r>
    <s v="ORD0257"/>
    <x v="12"/>
    <x v="5"/>
    <n v="4"/>
    <n v="271.01"/>
    <x v="255"/>
    <x v="240"/>
    <d v="2023-03-16T00:00:00"/>
    <x v="0"/>
    <x v="1"/>
    <x v="0"/>
    <s v="CUST8973"/>
    <x v="1"/>
  </r>
  <r>
    <s v="ORD0258"/>
    <x v="13"/>
    <x v="5"/>
    <n v="2"/>
    <n v="235.52"/>
    <x v="256"/>
    <x v="241"/>
    <d v="2024-04-19T00:00:00"/>
    <x v="4"/>
    <x v="0"/>
    <x v="2"/>
    <s v="CUST9609"/>
    <x v="1"/>
  </r>
  <r>
    <s v="ORD0259"/>
    <x v="25"/>
    <x v="4"/>
    <n v="1"/>
    <n v="295.60000000000002"/>
    <x v="257"/>
    <x v="242"/>
    <d v="2025-08-12T00:00:00"/>
    <x v="3"/>
    <x v="1"/>
    <x v="2"/>
    <s v="CUST5971"/>
    <x v="1"/>
  </r>
  <r>
    <s v="ORD0260"/>
    <x v="20"/>
    <x v="3"/>
    <n v="3"/>
    <n v="127.87"/>
    <x v="258"/>
    <x v="243"/>
    <d v="2023-01-25T00:00:00"/>
    <x v="1"/>
    <x v="2"/>
    <x v="3"/>
    <s v="CUST2990"/>
    <x v="1"/>
  </r>
  <r>
    <s v="ORD0261"/>
    <x v="4"/>
    <x v="0"/>
    <n v="4"/>
    <n v="212.37"/>
    <x v="259"/>
    <x v="244"/>
    <d v="2025-05-05T00:00:00"/>
    <x v="6"/>
    <x v="2"/>
    <x v="3"/>
    <s v="CUST7320"/>
    <x v="1"/>
  </r>
  <r>
    <s v="ORD0262"/>
    <x v="22"/>
    <x v="3"/>
    <n v="6"/>
    <n v="113.95"/>
    <x v="260"/>
    <x v="245"/>
    <d v="2025-05-31T00:00:00"/>
    <x v="5"/>
    <x v="2"/>
    <x v="0"/>
    <s v="CUST6588"/>
    <x v="1"/>
  </r>
  <r>
    <s v="ORD0263"/>
    <x v="27"/>
    <x v="1"/>
    <n v="1"/>
    <n v="93.13"/>
    <x v="261"/>
    <x v="246"/>
    <d v="2023-03-25T00:00:00"/>
    <x v="5"/>
    <x v="1"/>
    <x v="2"/>
    <s v="CUST4432"/>
    <x v="1"/>
  </r>
  <r>
    <s v="ORD0264"/>
    <x v="1"/>
    <x v="0"/>
    <n v="1"/>
    <n v="280.87"/>
    <x v="262"/>
    <x v="247"/>
    <d v="2023-12-08T00:00:00"/>
    <x v="4"/>
    <x v="0"/>
    <x v="2"/>
    <s v="CUST6182"/>
    <x v="1"/>
  </r>
  <r>
    <s v="ORD0265"/>
    <x v="28"/>
    <x v="3"/>
    <n v="8"/>
    <n v="253.59"/>
    <x v="263"/>
    <x v="248"/>
    <d v="2025-02-07T00:00:00"/>
    <x v="4"/>
    <x v="0"/>
    <x v="1"/>
    <s v="CUST2759"/>
    <x v="0"/>
  </r>
  <r>
    <s v="ORD0266"/>
    <x v="7"/>
    <x v="2"/>
    <n v="7"/>
    <n v="216.26"/>
    <x v="264"/>
    <x v="249"/>
    <d v="2025-08-09T00:00:00"/>
    <x v="5"/>
    <x v="3"/>
    <x v="1"/>
    <s v="CUST9914"/>
    <x v="1"/>
  </r>
  <r>
    <s v="ORD0267"/>
    <x v="9"/>
    <x v="2"/>
    <n v="1"/>
    <n v="23.09"/>
    <x v="265"/>
    <x v="250"/>
    <d v="2023-10-13T00:00:00"/>
    <x v="4"/>
    <x v="1"/>
    <x v="1"/>
    <s v="CUST8311"/>
    <x v="1"/>
  </r>
  <r>
    <s v="ORD0268"/>
    <x v="7"/>
    <x v="2"/>
    <n v="8"/>
    <n v="295.79000000000002"/>
    <x v="266"/>
    <x v="251"/>
    <d v="2025-02-07T00:00:00"/>
    <x v="4"/>
    <x v="1"/>
    <x v="0"/>
    <s v="CUST6490"/>
    <x v="0"/>
  </r>
  <r>
    <s v="ORD0269"/>
    <x v="4"/>
    <x v="0"/>
    <n v="2"/>
    <n v="264.57"/>
    <x v="267"/>
    <x v="252"/>
    <d v="2025-09-14T00:00:00"/>
    <x v="2"/>
    <x v="3"/>
    <x v="2"/>
    <s v="CUST6232"/>
    <x v="1"/>
  </r>
  <r>
    <s v="ORD0270"/>
    <x v="16"/>
    <x v="3"/>
    <n v="2"/>
    <n v="251.02"/>
    <x v="268"/>
    <x v="253"/>
    <d v="2025-08-04T00:00:00"/>
    <x v="6"/>
    <x v="2"/>
    <x v="1"/>
    <s v="CUST5926"/>
    <x v="1"/>
  </r>
  <r>
    <s v="ORD0271"/>
    <x v="19"/>
    <x v="2"/>
    <n v="4"/>
    <n v="95.05"/>
    <x v="269"/>
    <x v="254"/>
    <d v="2025-07-13T00:00:00"/>
    <x v="2"/>
    <x v="3"/>
    <x v="3"/>
    <s v="CUST9038"/>
    <x v="1"/>
  </r>
  <r>
    <s v="ORD0272"/>
    <x v="9"/>
    <x v="2"/>
    <n v="3"/>
    <n v="189.79"/>
    <x v="270"/>
    <x v="255"/>
    <d v="2024-04-02T00:00:00"/>
    <x v="3"/>
    <x v="1"/>
    <x v="1"/>
    <s v="CUST7305"/>
    <x v="1"/>
  </r>
  <r>
    <s v="ORD0273"/>
    <x v="13"/>
    <x v="5"/>
    <n v="1"/>
    <n v="17.57"/>
    <x v="271"/>
    <x v="256"/>
    <d v="2024-04-20T00:00:00"/>
    <x v="5"/>
    <x v="0"/>
    <x v="2"/>
    <s v="CUST4462"/>
    <x v="1"/>
  </r>
  <r>
    <s v="ORD0274"/>
    <x v="21"/>
    <x v="5"/>
    <n v="8"/>
    <n v="18.41"/>
    <x v="272"/>
    <x v="257"/>
    <d v="2025-01-28T00:00:00"/>
    <x v="3"/>
    <x v="3"/>
    <x v="1"/>
    <s v="CUST6954"/>
    <x v="1"/>
  </r>
  <r>
    <s v="ORD0275"/>
    <x v="18"/>
    <x v="4"/>
    <n v="8"/>
    <n v="102.08"/>
    <x v="273"/>
    <x v="258"/>
    <d v="2025-02-05T00:00:00"/>
    <x v="1"/>
    <x v="0"/>
    <x v="3"/>
    <s v="CUST9519"/>
    <x v="1"/>
  </r>
  <r>
    <s v="ORD0276"/>
    <x v="20"/>
    <x v="3"/>
    <n v="6"/>
    <n v="172.94"/>
    <x v="274"/>
    <x v="259"/>
    <d v="2023-08-17T00:00:00"/>
    <x v="0"/>
    <x v="0"/>
    <x v="3"/>
    <s v="CUST7722"/>
    <x v="1"/>
  </r>
  <r>
    <s v="ORD0277"/>
    <x v="3"/>
    <x v="1"/>
    <n v="3"/>
    <n v="328.11"/>
    <x v="275"/>
    <x v="260"/>
    <d v="2023-09-21T00:00:00"/>
    <x v="0"/>
    <x v="0"/>
    <x v="0"/>
    <s v="CUST8970"/>
    <x v="1"/>
  </r>
  <r>
    <s v="ORD0278"/>
    <x v="18"/>
    <x v="4"/>
    <n v="8"/>
    <n v="362.52"/>
    <x v="276"/>
    <x v="261"/>
    <d v="2023-04-30T00:00:00"/>
    <x v="2"/>
    <x v="0"/>
    <x v="0"/>
    <s v="CUST3538"/>
    <x v="0"/>
  </r>
  <r>
    <s v="ORD0279"/>
    <x v="1"/>
    <x v="0"/>
    <n v="4"/>
    <n v="472.48"/>
    <x v="277"/>
    <x v="262"/>
    <d v="2023-07-01T00:00:00"/>
    <x v="5"/>
    <x v="2"/>
    <x v="3"/>
    <s v="CUST7612"/>
    <x v="1"/>
  </r>
  <r>
    <s v="ORD0280"/>
    <x v="21"/>
    <x v="5"/>
    <n v="7"/>
    <n v="448.69"/>
    <x v="278"/>
    <x v="263"/>
    <d v="2023-01-07T00:00:00"/>
    <x v="5"/>
    <x v="2"/>
    <x v="3"/>
    <s v="CUST5425"/>
    <x v="0"/>
  </r>
  <r>
    <s v="ORD0281"/>
    <x v="8"/>
    <x v="2"/>
    <n v="7"/>
    <n v="369.27"/>
    <x v="279"/>
    <x v="264"/>
    <d v="2023-03-26T00:00:00"/>
    <x v="2"/>
    <x v="1"/>
    <x v="3"/>
    <s v="CUST5242"/>
    <x v="0"/>
  </r>
  <r>
    <s v="ORD0282"/>
    <x v="25"/>
    <x v="4"/>
    <n v="3"/>
    <n v="293.61"/>
    <x v="280"/>
    <x v="265"/>
    <d v="2024-11-30T00:00:00"/>
    <x v="5"/>
    <x v="2"/>
    <x v="3"/>
    <s v="CUST5177"/>
    <x v="1"/>
  </r>
  <r>
    <s v="ORD0283"/>
    <x v="15"/>
    <x v="2"/>
    <n v="2"/>
    <n v="455.76"/>
    <x v="281"/>
    <x v="266"/>
    <d v="2024-12-09T00:00:00"/>
    <x v="6"/>
    <x v="0"/>
    <x v="2"/>
    <s v="CUST7035"/>
    <x v="1"/>
  </r>
  <r>
    <s v="ORD0284"/>
    <x v="6"/>
    <x v="0"/>
    <n v="2"/>
    <n v="184.71"/>
    <x v="282"/>
    <x v="267"/>
    <d v="2023-04-29T00:00:00"/>
    <x v="5"/>
    <x v="3"/>
    <x v="0"/>
    <s v="CUST5491"/>
    <x v="1"/>
  </r>
  <r>
    <s v="ORD0285"/>
    <x v="19"/>
    <x v="2"/>
    <n v="4"/>
    <n v="313.95"/>
    <x v="283"/>
    <x v="268"/>
    <d v="2025-07-22T00:00:00"/>
    <x v="3"/>
    <x v="3"/>
    <x v="2"/>
    <s v="CUST2279"/>
    <x v="1"/>
  </r>
  <r>
    <s v="ORD0286"/>
    <x v="20"/>
    <x v="3"/>
    <n v="9"/>
    <n v="220.88"/>
    <x v="284"/>
    <x v="269"/>
    <d v="2025-07-28T00:00:00"/>
    <x v="6"/>
    <x v="1"/>
    <x v="1"/>
    <s v="CUST6986"/>
    <x v="1"/>
  </r>
  <r>
    <s v="ORD0287"/>
    <x v="3"/>
    <x v="1"/>
    <n v="4"/>
    <n v="487.4"/>
    <x v="285"/>
    <x v="270"/>
    <d v="2023-12-30T00:00:00"/>
    <x v="5"/>
    <x v="1"/>
    <x v="2"/>
    <s v="CUST3679"/>
    <x v="1"/>
  </r>
  <r>
    <s v="ORD0288"/>
    <x v="24"/>
    <x v="5"/>
    <n v="7"/>
    <n v="400.93"/>
    <x v="286"/>
    <x v="271"/>
    <d v="2024-12-21T00:00:00"/>
    <x v="5"/>
    <x v="2"/>
    <x v="2"/>
    <s v="CUST4186"/>
    <x v="0"/>
  </r>
  <r>
    <s v="ORD0289"/>
    <x v="3"/>
    <x v="1"/>
    <n v="1"/>
    <n v="138"/>
    <x v="287"/>
    <x v="183"/>
    <d v="2024-07-05T00:00:00"/>
    <x v="4"/>
    <x v="0"/>
    <x v="0"/>
    <s v="CUST5033"/>
    <x v="1"/>
  </r>
  <r>
    <s v="ORD0290"/>
    <x v="6"/>
    <x v="0"/>
    <n v="9"/>
    <n v="132.65"/>
    <x v="288"/>
    <x v="272"/>
    <d v="2025-01-27T00:00:00"/>
    <x v="6"/>
    <x v="1"/>
    <x v="0"/>
    <s v="CUST2301"/>
    <x v="1"/>
  </r>
  <r>
    <s v="ORD0291"/>
    <x v="19"/>
    <x v="2"/>
    <n v="4"/>
    <n v="70.48"/>
    <x v="289"/>
    <x v="110"/>
    <d v="2023-01-29T00:00:00"/>
    <x v="2"/>
    <x v="2"/>
    <x v="2"/>
    <s v="CUST9996"/>
    <x v="1"/>
  </r>
  <r>
    <s v="ORD0292"/>
    <x v="25"/>
    <x v="4"/>
    <n v="6"/>
    <n v="457.58"/>
    <x v="290"/>
    <x v="273"/>
    <d v="2025-05-02T00:00:00"/>
    <x v="4"/>
    <x v="2"/>
    <x v="0"/>
    <s v="CUST6475"/>
    <x v="0"/>
  </r>
  <r>
    <s v="ORD0293"/>
    <x v="16"/>
    <x v="3"/>
    <n v="9"/>
    <n v="140.66"/>
    <x v="291"/>
    <x v="274"/>
    <d v="2023-01-17T00:00:00"/>
    <x v="3"/>
    <x v="0"/>
    <x v="3"/>
    <s v="CUST6796"/>
    <x v="1"/>
  </r>
  <r>
    <s v="ORD0294"/>
    <x v="14"/>
    <x v="4"/>
    <n v="9"/>
    <n v="251.25"/>
    <x v="292"/>
    <x v="275"/>
    <d v="2024-08-10T00:00:00"/>
    <x v="5"/>
    <x v="2"/>
    <x v="0"/>
    <s v="CUST2622"/>
    <x v="0"/>
  </r>
  <r>
    <s v="ORD0295"/>
    <x v="1"/>
    <x v="0"/>
    <n v="5"/>
    <n v="10.44"/>
    <x v="293"/>
    <x v="276"/>
    <d v="2025-09-07T00:00:00"/>
    <x v="2"/>
    <x v="1"/>
    <x v="3"/>
    <s v="CUST3074"/>
    <x v="1"/>
  </r>
  <r>
    <s v="ORD0296"/>
    <x v="29"/>
    <x v="5"/>
    <n v="9"/>
    <n v="136.91999999999999"/>
    <x v="294"/>
    <x v="277"/>
    <d v="2024-12-31T00:00:00"/>
    <x v="3"/>
    <x v="2"/>
    <x v="0"/>
    <s v="CUST5263"/>
    <x v="1"/>
  </r>
  <r>
    <s v="ORD0297"/>
    <x v="21"/>
    <x v="5"/>
    <n v="2"/>
    <n v="302.26"/>
    <x v="295"/>
    <x v="278"/>
    <d v="2025-03-31T00:00:00"/>
    <x v="6"/>
    <x v="2"/>
    <x v="0"/>
    <s v="CUST9646"/>
    <x v="1"/>
  </r>
  <r>
    <s v="ORD0298"/>
    <x v="2"/>
    <x v="1"/>
    <n v="1"/>
    <n v="212.29"/>
    <x v="296"/>
    <x v="279"/>
    <d v="2024-04-20T00:00:00"/>
    <x v="5"/>
    <x v="2"/>
    <x v="2"/>
    <s v="CUST3681"/>
    <x v="1"/>
  </r>
  <r>
    <s v="ORD0299"/>
    <x v="22"/>
    <x v="3"/>
    <n v="2"/>
    <n v="87.31"/>
    <x v="297"/>
    <x v="280"/>
    <d v="2023-12-29T00:00:00"/>
    <x v="4"/>
    <x v="3"/>
    <x v="2"/>
    <s v="CUST3866"/>
    <x v="1"/>
  </r>
  <r>
    <s v="ORD0300"/>
    <x v="0"/>
    <x v="0"/>
    <n v="5"/>
    <n v="303.56"/>
    <x v="298"/>
    <x v="281"/>
    <d v="2025-03-04T00:00:00"/>
    <x v="3"/>
    <x v="0"/>
    <x v="3"/>
    <s v="CUST5124"/>
    <x v="1"/>
  </r>
  <r>
    <s v="ORD0301"/>
    <x v="9"/>
    <x v="2"/>
    <n v="5"/>
    <n v="419.35"/>
    <x v="299"/>
    <x v="282"/>
    <d v="2023-01-11T00:00:00"/>
    <x v="1"/>
    <x v="2"/>
    <x v="3"/>
    <s v="CUST8679"/>
    <x v="0"/>
  </r>
  <r>
    <s v="ORD0302"/>
    <x v="15"/>
    <x v="2"/>
    <n v="4"/>
    <n v="360.93"/>
    <x v="300"/>
    <x v="283"/>
    <d v="2025-03-17T00:00:00"/>
    <x v="6"/>
    <x v="1"/>
    <x v="1"/>
    <s v="CUST2333"/>
    <x v="1"/>
  </r>
  <r>
    <s v="ORD0303"/>
    <x v="23"/>
    <x v="4"/>
    <n v="2"/>
    <n v="201.34"/>
    <x v="301"/>
    <x v="284"/>
    <d v="2024-10-25T00:00:00"/>
    <x v="4"/>
    <x v="0"/>
    <x v="1"/>
    <s v="CUST5853"/>
    <x v="1"/>
  </r>
  <r>
    <s v="ORD0304"/>
    <x v="16"/>
    <x v="3"/>
    <n v="6"/>
    <n v="367.62"/>
    <x v="302"/>
    <x v="285"/>
    <d v="2023-10-16T00:00:00"/>
    <x v="6"/>
    <x v="1"/>
    <x v="3"/>
    <s v="CUST8715"/>
    <x v="0"/>
  </r>
  <r>
    <s v="ORD0305"/>
    <x v="2"/>
    <x v="1"/>
    <n v="4"/>
    <n v="85.2"/>
    <x v="303"/>
    <x v="286"/>
    <d v="2023-09-01T00:00:00"/>
    <x v="4"/>
    <x v="1"/>
    <x v="1"/>
    <s v="CUST8101"/>
    <x v="1"/>
  </r>
  <r>
    <s v="ORD0306"/>
    <x v="5"/>
    <x v="1"/>
    <n v="2"/>
    <n v="313.55"/>
    <x v="304"/>
    <x v="287"/>
    <d v="2024-03-25T00:00:00"/>
    <x v="6"/>
    <x v="3"/>
    <x v="2"/>
    <s v="CUST2524"/>
    <x v="1"/>
  </r>
  <r>
    <s v="ORD0307"/>
    <x v="23"/>
    <x v="4"/>
    <n v="9"/>
    <n v="42.19"/>
    <x v="305"/>
    <x v="232"/>
    <d v="2023-01-17T00:00:00"/>
    <x v="3"/>
    <x v="3"/>
    <x v="2"/>
    <s v="CUST6760"/>
    <x v="1"/>
  </r>
  <r>
    <s v="ORD0308"/>
    <x v="22"/>
    <x v="3"/>
    <n v="9"/>
    <n v="353.94"/>
    <x v="306"/>
    <x v="288"/>
    <d v="2024-09-07T00:00:00"/>
    <x v="5"/>
    <x v="3"/>
    <x v="2"/>
    <s v="CUST7185"/>
    <x v="0"/>
  </r>
  <r>
    <s v="ORD0309"/>
    <x v="4"/>
    <x v="0"/>
    <n v="9"/>
    <n v="126.97"/>
    <x v="307"/>
    <x v="289"/>
    <d v="2023-05-11T00:00:00"/>
    <x v="0"/>
    <x v="3"/>
    <x v="3"/>
    <s v="CUST2252"/>
    <x v="1"/>
  </r>
  <r>
    <s v="ORD0310"/>
    <x v="6"/>
    <x v="0"/>
    <n v="3"/>
    <n v="139.71"/>
    <x v="308"/>
    <x v="290"/>
    <d v="2025-05-15T00:00:00"/>
    <x v="0"/>
    <x v="1"/>
    <x v="1"/>
    <s v="CUST7667"/>
    <x v="1"/>
  </r>
  <r>
    <s v="ORD0311"/>
    <x v="13"/>
    <x v="5"/>
    <n v="3"/>
    <n v="160.72999999999999"/>
    <x v="309"/>
    <x v="291"/>
    <d v="2025-08-12T00:00:00"/>
    <x v="3"/>
    <x v="3"/>
    <x v="3"/>
    <s v="CUST5090"/>
    <x v="1"/>
  </r>
  <r>
    <s v="ORD0312"/>
    <x v="8"/>
    <x v="2"/>
    <n v="1"/>
    <n v="72.73"/>
    <x v="310"/>
    <x v="292"/>
    <d v="2023-11-26T00:00:00"/>
    <x v="2"/>
    <x v="0"/>
    <x v="0"/>
    <s v="CUST4640"/>
    <x v="1"/>
  </r>
  <r>
    <s v="ORD0313"/>
    <x v="13"/>
    <x v="5"/>
    <n v="7"/>
    <n v="263.04000000000002"/>
    <x v="311"/>
    <x v="293"/>
    <d v="2023-01-12T00:00:00"/>
    <x v="0"/>
    <x v="1"/>
    <x v="1"/>
    <s v="CUST2341"/>
    <x v="1"/>
  </r>
  <r>
    <s v="ORD0314"/>
    <x v="3"/>
    <x v="1"/>
    <n v="8"/>
    <n v="380.4"/>
    <x v="312"/>
    <x v="294"/>
    <d v="2025-09-17T00:00:00"/>
    <x v="1"/>
    <x v="1"/>
    <x v="0"/>
    <s v="CUST3708"/>
    <x v="0"/>
  </r>
  <r>
    <s v="ORD0315"/>
    <x v="7"/>
    <x v="2"/>
    <n v="1"/>
    <n v="331.1"/>
    <x v="313"/>
    <x v="295"/>
    <d v="2024-01-09T00:00:00"/>
    <x v="3"/>
    <x v="3"/>
    <x v="2"/>
    <s v="CUST8119"/>
    <x v="1"/>
  </r>
  <r>
    <s v="ORD0316"/>
    <x v="17"/>
    <x v="1"/>
    <n v="6"/>
    <n v="490.39"/>
    <x v="314"/>
    <x v="296"/>
    <d v="2024-04-10T00:00:00"/>
    <x v="1"/>
    <x v="0"/>
    <x v="0"/>
    <s v="CUST6387"/>
    <x v="0"/>
  </r>
  <r>
    <s v="ORD0317"/>
    <x v="24"/>
    <x v="5"/>
    <n v="9"/>
    <n v="472.31"/>
    <x v="315"/>
    <x v="297"/>
    <d v="2023-02-16T00:00:00"/>
    <x v="0"/>
    <x v="0"/>
    <x v="1"/>
    <s v="CUST5873"/>
    <x v="0"/>
  </r>
  <r>
    <s v="ORD0318"/>
    <x v="5"/>
    <x v="1"/>
    <n v="7"/>
    <n v="499.68"/>
    <x v="316"/>
    <x v="298"/>
    <d v="2025-03-04T00:00:00"/>
    <x v="3"/>
    <x v="1"/>
    <x v="2"/>
    <s v="CUST8124"/>
    <x v="0"/>
  </r>
  <r>
    <s v="ORD0319"/>
    <x v="10"/>
    <x v="3"/>
    <n v="6"/>
    <n v="458.17"/>
    <x v="317"/>
    <x v="299"/>
    <d v="2025-02-20T00:00:00"/>
    <x v="0"/>
    <x v="2"/>
    <x v="1"/>
    <s v="CUST5430"/>
    <x v="0"/>
  </r>
  <r>
    <s v="ORD0320"/>
    <x v="10"/>
    <x v="3"/>
    <n v="5"/>
    <n v="366.86"/>
    <x v="318"/>
    <x v="300"/>
    <d v="2025-06-01T00:00:00"/>
    <x v="2"/>
    <x v="0"/>
    <x v="2"/>
    <s v="CUST9007"/>
    <x v="1"/>
  </r>
  <r>
    <s v="ORD0321"/>
    <x v="13"/>
    <x v="5"/>
    <n v="2"/>
    <n v="213.77"/>
    <x v="319"/>
    <x v="301"/>
    <d v="2024-04-21T00:00:00"/>
    <x v="2"/>
    <x v="1"/>
    <x v="2"/>
    <s v="CUST7737"/>
    <x v="1"/>
  </r>
  <r>
    <s v="ORD0322"/>
    <x v="25"/>
    <x v="4"/>
    <n v="4"/>
    <n v="423.05"/>
    <x v="320"/>
    <x v="302"/>
    <d v="2024-02-06T00:00:00"/>
    <x v="3"/>
    <x v="0"/>
    <x v="0"/>
    <s v="CUST2466"/>
    <x v="1"/>
  </r>
  <r>
    <s v="ORD0323"/>
    <x v="18"/>
    <x v="4"/>
    <n v="7"/>
    <n v="23.32"/>
    <x v="321"/>
    <x v="303"/>
    <d v="2023-06-08T00:00:00"/>
    <x v="0"/>
    <x v="3"/>
    <x v="2"/>
    <s v="CUST4223"/>
    <x v="1"/>
  </r>
  <r>
    <s v="ORD0324"/>
    <x v="16"/>
    <x v="3"/>
    <n v="3"/>
    <n v="282.54000000000002"/>
    <x v="322"/>
    <x v="304"/>
    <d v="2025-03-23T00:00:00"/>
    <x v="2"/>
    <x v="3"/>
    <x v="0"/>
    <s v="CUST1130"/>
    <x v="1"/>
  </r>
  <r>
    <s v="ORD0325"/>
    <x v="12"/>
    <x v="5"/>
    <n v="5"/>
    <n v="267.48"/>
    <x v="323"/>
    <x v="305"/>
    <d v="2025-09-12T00:00:00"/>
    <x v="4"/>
    <x v="2"/>
    <x v="2"/>
    <s v="CUST5278"/>
    <x v="1"/>
  </r>
  <r>
    <s v="ORD0326"/>
    <x v="28"/>
    <x v="3"/>
    <n v="7"/>
    <n v="37.35"/>
    <x v="324"/>
    <x v="81"/>
    <d v="2024-06-10T00:00:00"/>
    <x v="6"/>
    <x v="1"/>
    <x v="2"/>
    <s v="CUST7640"/>
    <x v="1"/>
  </r>
  <r>
    <s v="ORD0327"/>
    <x v="20"/>
    <x v="3"/>
    <n v="4"/>
    <n v="396.41"/>
    <x v="325"/>
    <x v="306"/>
    <d v="2025-07-09T00:00:00"/>
    <x v="1"/>
    <x v="2"/>
    <x v="0"/>
    <s v="CUST8564"/>
    <x v="1"/>
  </r>
  <r>
    <s v="ORD0328"/>
    <x v="2"/>
    <x v="1"/>
    <n v="2"/>
    <n v="262.48"/>
    <x v="326"/>
    <x v="307"/>
    <d v="2024-05-07T00:00:00"/>
    <x v="3"/>
    <x v="0"/>
    <x v="2"/>
    <s v="CUST9502"/>
    <x v="1"/>
  </r>
  <r>
    <s v="ORD0329"/>
    <x v="1"/>
    <x v="0"/>
    <n v="3"/>
    <n v="435.7"/>
    <x v="327"/>
    <x v="308"/>
    <d v="2024-02-18T00:00:00"/>
    <x v="2"/>
    <x v="0"/>
    <x v="2"/>
    <s v="CUST5346"/>
    <x v="1"/>
  </r>
  <r>
    <s v="ORD0330"/>
    <x v="6"/>
    <x v="0"/>
    <n v="7"/>
    <n v="96.81"/>
    <x v="328"/>
    <x v="309"/>
    <d v="2023-10-01T00:00:00"/>
    <x v="2"/>
    <x v="2"/>
    <x v="1"/>
    <s v="CUST4810"/>
    <x v="1"/>
  </r>
  <r>
    <s v="ORD0331"/>
    <x v="26"/>
    <x v="0"/>
    <n v="7"/>
    <n v="9.6999999999999993"/>
    <x v="329"/>
    <x v="63"/>
    <d v="2023-01-29T00:00:00"/>
    <x v="2"/>
    <x v="0"/>
    <x v="1"/>
    <s v="CUST3032"/>
    <x v="1"/>
  </r>
  <r>
    <s v="ORD0332"/>
    <x v="5"/>
    <x v="1"/>
    <n v="5"/>
    <n v="242.49"/>
    <x v="330"/>
    <x v="310"/>
    <d v="2023-09-29T00:00:00"/>
    <x v="4"/>
    <x v="0"/>
    <x v="2"/>
    <s v="CUST4511"/>
    <x v="1"/>
  </r>
  <r>
    <s v="ORD0333"/>
    <x v="5"/>
    <x v="1"/>
    <n v="9"/>
    <n v="385.3"/>
    <x v="331"/>
    <x v="311"/>
    <d v="2025-07-09T00:00:00"/>
    <x v="1"/>
    <x v="3"/>
    <x v="1"/>
    <s v="CUST9190"/>
    <x v="0"/>
  </r>
  <r>
    <s v="ORD0334"/>
    <x v="9"/>
    <x v="2"/>
    <n v="7"/>
    <n v="263.64999999999998"/>
    <x v="332"/>
    <x v="312"/>
    <d v="2024-07-30T00:00:00"/>
    <x v="3"/>
    <x v="3"/>
    <x v="0"/>
    <s v="CUST4760"/>
    <x v="1"/>
  </r>
  <r>
    <s v="ORD0335"/>
    <x v="22"/>
    <x v="3"/>
    <n v="3"/>
    <n v="236.32"/>
    <x v="333"/>
    <x v="313"/>
    <d v="2024-01-11T00:00:00"/>
    <x v="0"/>
    <x v="3"/>
    <x v="1"/>
    <s v="CUST3033"/>
    <x v="1"/>
  </r>
  <r>
    <s v="ORD0336"/>
    <x v="28"/>
    <x v="3"/>
    <n v="4"/>
    <n v="359.2"/>
    <x v="334"/>
    <x v="314"/>
    <d v="2023-10-20T00:00:00"/>
    <x v="4"/>
    <x v="2"/>
    <x v="1"/>
    <s v="CUST8832"/>
    <x v="1"/>
  </r>
  <r>
    <s v="ORD0337"/>
    <x v="18"/>
    <x v="4"/>
    <n v="1"/>
    <n v="455.62"/>
    <x v="335"/>
    <x v="315"/>
    <d v="2025-09-01T00:00:00"/>
    <x v="6"/>
    <x v="0"/>
    <x v="0"/>
    <s v="CUST3632"/>
    <x v="1"/>
  </r>
  <r>
    <s v="ORD0338"/>
    <x v="1"/>
    <x v="0"/>
    <n v="1"/>
    <n v="198.86"/>
    <x v="336"/>
    <x v="316"/>
    <d v="2025-08-21T00:00:00"/>
    <x v="0"/>
    <x v="3"/>
    <x v="1"/>
    <s v="CUST2828"/>
    <x v="1"/>
  </r>
  <r>
    <s v="ORD0339"/>
    <x v="8"/>
    <x v="2"/>
    <n v="5"/>
    <n v="49.26"/>
    <x v="337"/>
    <x v="317"/>
    <d v="2024-12-10T00:00:00"/>
    <x v="3"/>
    <x v="0"/>
    <x v="0"/>
    <s v="CUST1806"/>
    <x v="1"/>
  </r>
  <r>
    <s v="ORD0340"/>
    <x v="18"/>
    <x v="4"/>
    <n v="8"/>
    <n v="442.68"/>
    <x v="338"/>
    <x v="318"/>
    <d v="2023-12-10T00:00:00"/>
    <x v="2"/>
    <x v="0"/>
    <x v="1"/>
    <s v="CUST9202"/>
    <x v="0"/>
  </r>
  <r>
    <s v="ORD0341"/>
    <x v="16"/>
    <x v="3"/>
    <n v="2"/>
    <n v="87.68"/>
    <x v="339"/>
    <x v="28"/>
    <d v="2024-07-17T00:00:00"/>
    <x v="1"/>
    <x v="2"/>
    <x v="0"/>
    <s v="CUST6690"/>
    <x v="1"/>
  </r>
  <r>
    <s v="ORD0342"/>
    <x v="2"/>
    <x v="1"/>
    <n v="8"/>
    <n v="471.65"/>
    <x v="340"/>
    <x v="319"/>
    <d v="2024-07-28T00:00:00"/>
    <x v="2"/>
    <x v="2"/>
    <x v="2"/>
    <s v="CUST6429"/>
    <x v="0"/>
  </r>
  <r>
    <s v="ORD0343"/>
    <x v="12"/>
    <x v="5"/>
    <n v="5"/>
    <n v="416.17"/>
    <x v="341"/>
    <x v="212"/>
    <d v="2024-01-01T00:00:00"/>
    <x v="6"/>
    <x v="0"/>
    <x v="3"/>
    <s v="CUST8274"/>
    <x v="0"/>
  </r>
  <r>
    <s v="ORD0344"/>
    <x v="28"/>
    <x v="3"/>
    <n v="2"/>
    <n v="195.12"/>
    <x v="342"/>
    <x v="320"/>
    <d v="2025-07-25T00:00:00"/>
    <x v="4"/>
    <x v="2"/>
    <x v="0"/>
    <s v="CUST7402"/>
    <x v="1"/>
  </r>
  <r>
    <s v="ORD0345"/>
    <x v="1"/>
    <x v="0"/>
    <n v="8"/>
    <n v="178.31"/>
    <x v="343"/>
    <x v="321"/>
    <d v="2025-02-11T00:00:00"/>
    <x v="3"/>
    <x v="3"/>
    <x v="1"/>
    <s v="CUST9245"/>
    <x v="1"/>
  </r>
  <r>
    <s v="ORD0346"/>
    <x v="16"/>
    <x v="3"/>
    <n v="7"/>
    <n v="442.47"/>
    <x v="344"/>
    <x v="322"/>
    <d v="2023-04-09T00:00:00"/>
    <x v="2"/>
    <x v="1"/>
    <x v="2"/>
    <s v="CUST2913"/>
    <x v="0"/>
  </r>
  <r>
    <s v="ORD0347"/>
    <x v="2"/>
    <x v="1"/>
    <n v="1"/>
    <n v="91.08"/>
    <x v="345"/>
    <x v="208"/>
    <d v="2024-05-04T00:00:00"/>
    <x v="5"/>
    <x v="1"/>
    <x v="0"/>
    <s v="CUST3466"/>
    <x v="1"/>
  </r>
  <r>
    <s v="ORD0348"/>
    <x v="18"/>
    <x v="4"/>
    <n v="2"/>
    <n v="248.14"/>
    <x v="346"/>
    <x v="323"/>
    <d v="2023-05-25T00:00:00"/>
    <x v="0"/>
    <x v="3"/>
    <x v="1"/>
    <s v="CUST9194"/>
    <x v="1"/>
  </r>
  <r>
    <s v="ORD0349"/>
    <x v="9"/>
    <x v="2"/>
    <n v="3"/>
    <n v="116.1"/>
    <x v="347"/>
    <x v="324"/>
    <d v="2023-04-30T00:00:00"/>
    <x v="2"/>
    <x v="0"/>
    <x v="0"/>
    <s v="CUST1892"/>
    <x v="1"/>
  </r>
  <r>
    <s v="ORD0350"/>
    <x v="23"/>
    <x v="4"/>
    <n v="9"/>
    <n v="298.51"/>
    <x v="348"/>
    <x v="325"/>
    <d v="2025-06-28T00:00:00"/>
    <x v="5"/>
    <x v="0"/>
    <x v="0"/>
    <s v="CUST2380"/>
    <x v="0"/>
  </r>
  <r>
    <s v="ORD0351"/>
    <x v="9"/>
    <x v="2"/>
    <n v="2"/>
    <n v="231.43"/>
    <x v="349"/>
    <x v="326"/>
    <d v="2025-08-09T00:00:00"/>
    <x v="5"/>
    <x v="2"/>
    <x v="1"/>
    <s v="CUST8490"/>
    <x v="1"/>
  </r>
  <r>
    <s v="ORD0352"/>
    <x v="21"/>
    <x v="5"/>
    <n v="9"/>
    <n v="26.97"/>
    <x v="350"/>
    <x v="327"/>
    <d v="2025-01-07T00:00:00"/>
    <x v="3"/>
    <x v="3"/>
    <x v="3"/>
    <s v="CUST1954"/>
    <x v="1"/>
  </r>
  <r>
    <s v="ORD0353"/>
    <x v="16"/>
    <x v="3"/>
    <n v="2"/>
    <n v="207.18"/>
    <x v="351"/>
    <x v="328"/>
    <d v="2025-09-01T00:00:00"/>
    <x v="6"/>
    <x v="0"/>
    <x v="2"/>
    <s v="CUST5133"/>
    <x v="1"/>
  </r>
  <r>
    <s v="ORD0354"/>
    <x v="19"/>
    <x v="2"/>
    <n v="8"/>
    <n v="349.38"/>
    <x v="352"/>
    <x v="0"/>
    <d v="2023-06-25T00:00:00"/>
    <x v="2"/>
    <x v="0"/>
    <x v="2"/>
    <s v="CUST9228"/>
    <x v="0"/>
  </r>
  <r>
    <s v="ORD0355"/>
    <x v="20"/>
    <x v="3"/>
    <n v="5"/>
    <n v="495.78"/>
    <x v="353"/>
    <x v="329"/>
    <d v="2023-04-24T00:00:00"/>
    <x v="6"/>
    <x v="2"/>
    <x v="3"/>
    <s v="CUST1317"/>
    <x v="0"/>
  </r>
  <r>
    <s v="ORD0356"/>
    <x v="3"/>
    <x v="1"/>
    <n v="3"/>
    <n v="413.22"/>
    <x v="354"/>
    <x v="330"/>
    <d v="2024-07-21T00:00:00"/>
    <x v="2"/>
    <x v="2"/>
    <x v="3"/>
    <s v="CUST7183"/>
    <x v="1"/>
  </r>
  <r>
    <s v="ORD0357"/>
    <x v="20"/>
    <x v="3"/>
    <n v="1"/>
    <n v="439.92"/>
    <x v="355"/>
    <x v="331"/>
    <d v="2023-05-27T00:00:00"/>
    <x v="5"/>
    <x v="3"/>
    <x v="3"/>
    <s v="CUST3383"/>
    <x v="1"/>
  </r>
  <r>
    <s v="ORD0358"/>
    <x v="6"/>
    <x v="0"/>
    <n v="8"/>
    <n v="126.42"/>
    <x v="356"/>
    <x v="102"/>
    <d v="2024-07-24T00:00:00"/>
    <x v="1"/>
    <x v="3"/>
    <x v="2"/>
    <s v="CUST2704"/>
    <x v="1"/>
  </r>
  <r>
    <s v="ORD0359"/>
    <x v="18"/>
    <x v="4"/>
    <n v="9"/>
    <n v="465.39"/>
    <x v="357"/>
    <x v="332"/>
    <d v="2023-12-22T00:00:00"/>
    <x v="4"/>
    <x v="1"/>
    <x v="3"/>
    <s v="CUST5286"/>
    <x v="0"/>
  </r>
  <r>
    <s v="ORD0360"/>
    <x v="18"/>
    <x v="4"/>
    <n v="6"/>
    <n v="98.66"/>
    <x v="358"/>
    <x v="333"/>
    <d v="2023-05-13T00:00:00"/>
    <x v="5"/>
    <x v="1"/>
    <x v="0"/>
    <s v="CUST1556"/>
    <x v="1"/>
  </r>
  <r>
    <s v="ORD0361"/>
    <x v="11"/>
    <x v="4"/>
    <n v="9"/>
    <n v="19.48"/>
    <x v="359"/>
    <x v="28"/>
    <d v="2024-06-18T00:00:00"/>
    <x v="3"/>
    <x v="3"/>
    <x v="0"/>
    <s v="CUST8561"/>
    <x v="1"/>
  </r>
  <r>
    <s v="ORD0362"/>
    <x v="1"/>
    <x v="0"/>
    <n v="5"/>
    <n v="373.04"/>
    <x v="360"/>
    <x v="334"/>
    <d v="2025-07-15T00:00:00"/>
    <x v="3"/>
    <x v="0"/>
    <x v="2"/>
    <s v="CUST3403"/>
    <x v="1"/>
  </r>
  <r>
    <s v="ORD0363"/>
    <x v="29"/>
    <x v="5"/>
    <n v="2"/>
    <n v="416.91"/>
    <x v="361"/>
    <x v="335"/>
    <d v="2025-09-15T00:00:00"/>
    <x v="6"/>
    <x v="2"/>
    <x v="2"/>
    <s v="CUST1294"/>
    <x v="1"/>
  </r>
  <r>
    <s v="ORD0364"/>
    <x v="25"/>
    <x v="4"/>
    <n v="2"/>
    <n v="147.08000000000001"/>
    <x v="362"/>
    <x v="336"/>
    <d v="2023-02-15T00:00:00"/>
    <x v="1"/>
    <x v="1"/>
    <x v="2"/>
    <s v="CUST2136"/>
    <x v="1"/>
  </r>
  <r>
    <s v="ORD0365"/>
    <x v="23"/>
    <x v="4"/>
    <n v="9"/>
    <n v="317.75"/>
    <x v="363"/>
    <x v="337"/>
    <d v="2023-08-11T00:00:00"/>
    <x v="4"/>
    <x v="0"/>
    <x v="0"/>
    <s v="CUST8009"/>
    <x v="0"/>
  </r>
  <r>
    <s v="ORD0366"/>
    <x v="8"/>
    <x v="2"/>
    <n v="8"/>
    <n v="410.25"/>
    <x v="364"/>
    <x v="338"/>
    <d v="2023-11-22T00:00:00"/>
    <x v="1"/>
    <x v="3"/>
    <x v="3"/>
    <s v="CUST6352"/>
    <x v="0"/>
  </r>
  <r>
    <s v="ORD0367"/>
    <x v="4"/>
    <x v="0"/>
    <n v="2"/>
    <n v="174.23"/>
    <x v="365"/>
    <x v="324"/>
    <d v="2024-07-25T00:00:00"/>
    <x v="0"/>
    <x v="0"/>
    <x v="0"/>
    <s v="CUST3382"/>
    <x v="1"/>
  </r>
  <r>
    <s v="ORD0368"/>
    <x v="28"/>
    <x v="3"/>
    <n v="5"/>
    <n v="55.74"/>
    <x v="366"/>
    <x v="166"/>
    <d v="2023-07-15T00:00:00"/>
    <x v="5"/>
    <x v="0"/>
    <x v="1"/>
    <s v="CUST8059"/>
    <x v="1"/>
  </r>
  <r>
    <s v="ORD0369"/>
    <x v="3"/>
    <x v="1"/>
    <n v="4"/>
    <n v="38.58"/>
    <x v="367"/>
    <x v="339"/>
    <d v="2024-12-31T00:00:00"/>
    <x v="3"/>
    <x v="3"/>
    <x v="0"/>
    <s v="CUST2040"/>
    <x v="1"/>
  </r>
  <r>
    <s v="ORD0370"/>
    <x v="26"/>
    <x v="0"/>
    <n v="6"/>
    <n v="355.74"/>
    <x v="368"/>
    <x v="340"/>
    <d v="2025-06-04T00:00:00"/>
    <x v="1"/>
    <x v="3"/>
    <x v="1"/>
    <s v="CUST3752"/>
    <x v="0"/>
  </r>
  <r>
    <s v="ORD0371"/>
    <x v="19"/>
    <x v="2"/>
    <n v="6"/>
    <n v="312.35000000000002"/>
    <x v="369"/>
    <x v="341"/>
    <d v="2023-07-29T00:00:00"/>
    <x v="5"/>
    <x v="0"/>
    <x v="3"/>
    <s v="CUST3353"/>
    <x v="1"/>
  </r>
  <r>
    <s v="ORD0372"/>
    <x v="20"/>
    <x v="3"/>
    <n v="4"/>
    <n v="325.55"/>
    <x v="370"/>
    <x v="342"/>
    <d v="2025-08-05T00:00:00"/>
    <x v="3"/>
    <x v="1"/>
    <x v="1"/>
    <s v="CUST3428"/>
    <x v="1"/>
  </r>
  <r>
    <s v="ORD0373"/>
    <x v="17"/>
    <x v="1"/>
    <n v="7"/>
    <n v="37.479999999999997"/>
    <x v="371"/>
    <x v="343"/>
    <d v="2023-02-02T00:00:00"/>
    <x v="0"/>
    <x v="1"/>
    <x v="2"/>
    <s v="CUST8813"/>
    <x v="1"/>
  </r>
  <r>
    <s v="ORD0374"/>
    <x v="13"/>
    <x v="5"/>
    <n v="3"/>
    <n v="129.99"/>
    <x v="372"/>
    <x v="344"/>
    <d v="2025-09-09T00:00:00"/>
    <x v="3"/>
    <x v="1"/>
    <x v="0"/>
    <s v="CUST4356"/>
    <x v="1"/>
  </r>
  <r>
    <s v="ORD0375"/>
    <x v="16"/>
    <x v="3"/>
    <n v="4"/>
    <n v="215.96"/>
    <x v="373"/>
    <x v="345"/>
    <d v="2024-02-01T00:00:00"/>
    <x v="0"/>
    <x v="2"/>
    <x v="2"/>
    <s v="CUST1038"/>
    <x v="1"/>
  </r>
  <r>
    <s v="ORD0376"/>
    <x v="8"/>
    <x v="2"/>
    <n v="7"/>
    <n v="413.83"/>
    <x v="374"/>
    <x v="346"/>
    <d v="2023-03-16T00:00:00"/>
    <x v="0"/>
    <x v="1"/>
    <x v="1"/>
    <s v="CUST8027"/>
    <x v="0"/>
  </r>
  <r>
    <s v="ORD0377"/>
    <x v="16"/>
    <x v="3"/>
    <n v="2"/>
    <n v="387.55"/>
    <x v="375"/>
    <x v="347"/>
    <d v="2023-03-25T00:00:00"/>
    <x v="5"/>
    <x v="2"/>
    <x v="2"/>
    <s v="CUST4093"/>
    <x v="1"/>
  </r>
  <r>
    <s v="ORD0378"/>
    <x v="21"/>
    <x v="5"/>
    <n v="3"/>
    <n v="475.68"/>
    <x v="376"/>
    <x v="348"/>
    <d v="2025-01-17T00:00:00"/>
    <x v="4"/>
    <x v="3"/>
    <x v="3"/>
    <s v="CUST1988"/>
    <x v="1"/>
  </r>
  <r>
    <s v="ORD0379"/>
    <x v="27"/>
    <x v="1"/>
    <n v="5"/>
    <n v="455.21"/>
    <x v="377"/>
    <x v="349"/>
    <d v="2025-05-18T00:00:00"/>
    <x v="2"/>
    <x v="0"/>
    <x v="2"/>
    <s v="CUST5179"/>
    <x v="0"/>
  </r>
  <r>
    <s v="ORD0380"/>
    <x v="20"/>
    <x v="3"/>
    <n v="6"/>
    <n v="381.25"/>
    <x v="378"/>
    <x v="350"/>
    <d v="2024-03-28T00:00:00"/>
    <x v="0"/>
    <x v="2"/>
    <x v="3"/>
    <s v="CUST6626"/>
    <x v="0"/>
  </r>
  <r>
    <s v="ORD0381"/>
    <x v="28"/>
    <x v="3"/>
    <n v="1"/>
    <n v="163.77000000000001"/>
    <x v="379"/>
    <x v="303"/>
    <d v="2025-07-22T00:00:00"/>
    <x v="3"/>
    <x v="0"/>
    <x v="1"/>
    <s v="CUST4598"/>
    <x v="1"/>
  </r>
  <r>
    <s v="ORD0382"/>
    <x v="2"/>
    <x v="1"/>
    <n v="2"/>
    <n v="110.49"/>
    <x v="380"/>
    <x v="351"/>
    <d v="2025-04-11T00:00:00"/>
    <x v="4"/>
    <x v="2"/>
    <x v="2"/>
    <s v="CUST4056"/>
    <x v="1"/>
  </r>
  <r>
    <s v="ORD0383"/>
    <x v="28"/>
    <x v="3"/>
    <n v="9"/>
    <n v="358.89"/>
    <x v="381"/>
    <x v="352"/>
    <d v="2025-02-24T00:00:00"/>
    <x v="6"/>
    <x v="0"/>
    <x v="2"/>
    <s v="CUST6390"/>
    <x v="0"/>
  </r>
  <r>
    <s v="ORD0384"/>
    <x v="7"/>
    <x v="2"/>
    <n v="8"/>
    <n v="83.83"/>
    <x v="382"/>
    <x v="353"/>
    <d v="2025-09-11T00:00:00"/>
    <x v="0"/>
    <x v="0"/>
    <x v="3"/>
    <s v="CUST6776"/>
    <x v="1"/>
  </r>
  <r>
    <s v="ORD0385"/>
    <x v="22"/>
    <x v="3"/>
    <n v="5"/>
    <n v="81.06"/>
    <x v="383"/>
    <x v="354"/>
    <d v="2023-01-27T00:00:00"/>
    <x v="4"/>
    <x v="0"/>
    <x v="2"/>
    <s v="CUST4633"/>
    <x v="1"/>
  </r>
  <r>
    <s v="ORD0386"/>
    <x v="21"/>
    <x v="5"/>
    <n v="4"/>
    <n v="13.84"/>
    <x v="384"/>
    <x v="129"/>
    <d v="2023-12-15T00:00:00"/>
    <x v="4"/>
    <x v="1"/>
    <x v="0"/>
    <s v="CUST1959"/>
    <x v="1"/>
  </r>
  <r>
    <s v="ORD0387"/>
    <x v="2"/>
    <x v="1"/>
    <n v="5"/>
    <n v="456.36"/>
    <x v="385"/>
    <x v="355"/>
    <d v="2024-01-13T00:00:00"/>
    <x v="5"/>
    <x v="3"/>
    <x v="3"/>
    <s v="CUST3946"/>
    <x v="0"/>
  </r>
  <r>
    <s v="ORD0388"/>
    <x v="29"/>
    <x v="5"/>
    <n v="4"/>
    <n v="399.29"/>
    <x v="386"/>
    <x v="356"/>
    <d v="2023-06-02T00:00:00"/>
    <x v="4"/>
    <x v="1"/>
    <x v="1"/>
    <s v="CUST2875"/>
    <x v="1"/>
  </r>
  <r>
    <s v="ORD0389"/>
    <x v="19"/>
    <x v="2"/>
    <n v="4"/>
    <n v="281.41000000000003"/>
    <x v="387"/>
    <x v="357"/>
    <d v="2025-08-01T00:00:00"/>
    <x v="4"/>
    <x v="0"/>
    <x v="1"/>
    <s v="CUST8099"/>
    <x v="1"/>
  </r>
  <r>
    <s v="ORD0390"/>
    <x v="20"/>
    <x v="3"/>
    <n v="6"/>
    <n v="293.08"/>
    <x v="388"/>
    <x v="358"/>
    <d v="2023-04-27T00:00:00"/>
    <x v="0"/>
    <x v="0"/>
    <x v="3"/>
    <s v="CUST3433"/>
    <x v="1"/>
  </r>
  <r>
    <s v="ORD0391"/>
    <x v="16"/>
    <x v="3"/>
    <n v="8"/>
    <n v="219.46"/>
    <x v="389"/>
    <x v="359"/>
    <d v="2023-03-05T00:00:00"/>
    <x v="2"/>
    <x v="3"/>
    <x v="2"/>
    <s v="CUST4788"/>
    <x v="1"/>
  </r>
  <r>
    <s v="ORD0392"/>
    <x v="27"/>
    <x v="1"/>
    <n v="1"/>
    <n v="10.75"/>
    <x v="390"/>
    <x v="360"/>
    <d v="2023-10-01T00:00:00"/>
    <x v="2"/>
    <x v="2"/>
    <x v="2"/>
    <s v="CUST2389"/>
    <x v="1"/>
  </r>
  <r>
    <s v="ORD0393"/>
    <x v="12"/>
    <x v="5"/>
    <n v="6"/>
    <n v="149.37"/>
    <x v="391"/>
    <x v="361"/>
    <d v="2023-10-28T00:00:00"/>
    <x v="5"/>
    <x v="1"/>
    <x v="2"/>
    <s v="CUST9920"/>
    <x v="1"/>
  </r>
  <r>
    <s v="ORD0394"/>
    <x v="0"/>
    <x v="0"/>
    <n v="1"/>
    <n v="476.56"/>
    <x v="392"/>
    <x v="362"/>
    <d v="2024-02-29T00:00:00"/>
    <x v="0"/>
    <x v="0"/>
    <x v="1"/>
    <s v="CUST1778"/>
    <x v="1"/>
  </r>
  <r>
    <s v="ORD0395"/>
    <x v="3"/>
    <x v="1"/>
    <n v="6"/>
    <n v="375.84"/>
    <x v="393"/>
    <x v="363"/>
    <d v="2024-07-06T00:00:00"/>
    <x v="5"/>
    <x v="3"/>
    <x v="1"/>
    <s v="CUST7731"/>
    <x v="0"/>
  </r>
  <r>
    <s v="ORD0396"/>
    <x v="24"/>
    <x v="5"/>
    <n v="9"/>
    <n v="287.60000000000002"/>
    <x v="394"/>
    <x v="364"/>
    <d v="2024-04-07T00:00:00"/>
    <x v="2"/>
    <x v="1"/>
    <x v="3"/>
    <s v="CUST9783"/>
    <x v="0"/>
  </r>
  <r>
    <s v="ORD0397"/>
    <x v="9"/>
    <x v="2"/>
    <n v="6"/>
    <n v="310.99"/>
    <x v="395"/>
    <x v="334"/>
    <d v="2024-10-21T00:00:00"/>
    <x v="6"/>
    <x v="2"/>
    <x v="1"/>
    <s v="CUST3720"/>
    <x v="1"/>
  </r>
  <r>
    <s v="ORD0398"/>
    <x v="3"/>
    <x v="1"/>
    <n v="8"/>
    <n v="9.84"/>
    <x v="396"/>
    <x v="42"/>
    <d v="2025-05-14T00:00:00"/>
    <x v="1"/>
    <x v="2"/>
    <x v="3"/>
    <s v="CUST1001"/>
    <x v="1"/>
  </r>
  <r>
    <s v="ORD0399"/>
    <x v="1"/>
    <x v="0"/>
    <n v="1"/>
    <n v="48.49"/>
    <x v="397"/>
    <x v="109"/>
    <d v="2025-08-30T00:00:00"/>
    <x v="5"/>
    <x v="0"/>
    <x v="1"/>
    <s v="CUST2949"/>
    <x v="1"/>
  </r>
  <r>
    <s v="ORD0400"/>
    <x v="4"/>
    <x v="0"/>
    <n v="1"/>
    <n v="413.13"/>
    <x v="398"/>
    <x v="365"/>
    <d v="2024-10-27T00:00:00"/>
    <x v="2"/>
    <x v="3"/>
    <x v="2"/>
    <s v="CUST1917"/>
    <x v="1"/>
  </r>
  <r>
    <s v="ORD0401"/>
    <x v="6"/>
    <x v="0"/>
    <n v="7"/>
    <n v="70.69"/>
    <x v="399"/>
    <x v="366"/>
    <d v="2025-05-20T00:00:00"/>
    <x v="3"/>
    <x v="1"/>
    <x v="0"/>
    <s v="CUST1089"/>
    <x v="1"/>
  </r>
  <r>
    <s v="ORD0402"/>
    <x v="16"/>
    <x v="3"/>
    <n v="2"/>
    <n v="411.61"/>
    <x v="400"/>
    <x v="367"/>
    <d v="2023-04-16T00:00:00"/>
    <x v="2"/>
    <x v="2"/>
    <x v="3"/>
    <s v="CUST9619"/>
    <x v="1"/>
  </r>
  <r>
    <s v="ORD0403"/>
    <x v="3"/>
    <x v="1"/>
    <n v="1"/>
    <n v="476.02"/>
    <x v="401"/>
    <x v="362"/>
    <d v="2023-11-13T00:00:00"/>
    <x v="6"/>
    <x v="0"/>
    <x v="0"/>
    <s v="CUST7082"/>
    <x v="1"/>
  </r>
  <r>
    <s v="ORD0404"/>
    <x v="19"/>
    <x v="2"/>
    <n v="6"/>
    <n v="299.41000000000003"/>
    <x v="402"/>
    <x v="368"/>
    <d v="2023-03-14T00:00:00"/>
    <x v="3"/>
    <x v="3"/>
    <x v="2"/>
    <s v="CUST1552"/>
    <x v="1"/>
  </r>
  <r>
    <s v="ORD0405"/>
    <x v="8"/>
    <x v="2"/>
    <n v="2"/>
    <n v="467.92"/>
    <x v="403"/>
    <x v="369"/>
    <d v="2025-04-19T00:00:00"/>
    <x v="5"/>
    <x v="2"/>
    <x v="0"/>
    <s v="CUST4389"/>
    <x v="1"/>
  </r>
  <r>
    <s v="ORD0406"/>
    <x v="11"/>
    <x v="4"/>
    <n v="4"/>
    <n v="173.03"/>
    <x v="404"/>
    <x v="370"/>
    <d v="2023-09-08T00:00:00"/>
    <x v="4"/>
    <x v="1"/>
    <x v="2"/>
    <s v="CUST3430"/>
    <x v="1"/>
  </r>
  <r>
    <s v="ORD0407"/>
    <x v="7"/>
    <x v="2"/>
    <n v="7"/>
    <n v="332.11"/>
    <x v="405"/>
    <x v="371"/>
    <d v="2023-07-27T00:00:00"/>
    <x v="0"/>
    <x v="3"/>
    <x v="1"/>
    <s v="CUST1899"/>
    <x v="0"/>
  </r>
  <r>
    <s v="ORD0408"/>
    <x v="1"/>
    <x v="0"/>
    <n v="6"/>
    <n v="409.56"/>
    <x v="406"/>
    <x v="372"/>
    <d v="2024-02-14T00:00:00"/>
    <x v="1"/>
    <x v="0"/>
    <x v="3"/>
    <s v="CUST1894"/>
    <x v="0"/>
  </r>
  <r>
    <s v="ORD0409"/>
    <x v="23"/>
    <x v="4"/>
    <n v="3"/>
    <n v="25.17"/>
    <x v="407"/>
    <x v="373"/>
    <d v="2024-11-30T00:00:00"/>
    <x v="5"/>
    <x v="1"/>
    <x v="3"/>
    <s v="CUST5109"/>
    <x v="1"/>
  </r>
  <r>
    <s v="ORD0410"/>
    <x v="18"/>
    <x v="4"/>
    <n v="2"/>
    <n v="34.869999999999997"/>
    <x v="408"/>
    <x v="374"/>
    <d v="2023-03-28T00:00:00"/>
    <x v="3"/>
    <x v="0"/>
    <x v="3"/>
    <s v="CUST2560"/>
    <x v="1"/>
  </r>
  <r>
    <s v="ORD0411"/>
    <x v="1"/>
    <x v="0"/>
    <n v="3"/>
    <n v="113.51"/>
    <x v="409"/>
    <x v="286"/>
    <d v="2024-07-20T00:00:00"/>
    <x v="5"/>
    <x v="2"/>
    <x v="1"/>
    <s v="CUST9941"/>
    <x v="1"/>
  </r>
  <r>
    <s v="ORD0412"/>
    <x v="6"/>
    <x v="0"/>
    <n v="4"/>
    <n v="373.42"/>
    <x v="410"/>
    <x v="375"/>
    <d v="2025-01-02T00:00:00"/>
    <x v="0"/>
    <x v="3"/>
    <x v="2"/>
    <s v="CUST3356"/>
    <x v="1"/>
  </r>
  <r>
    <s v="ORD0413"/>
    <x v="16"/>
    <x v="3"/>
    <n v="7"/>
    <n v="26.61"/>
    <x v="411"/>
    <x v="376"/>
    <d v="2025-03-22T00:00:00"/>
    <x v="5"/>
    <x v="3"/>
    <x v="3"/>
    <s v="CUST4665"/>
    <x v="1"/>
  </r>
  <r>
    <s v="ORD0414"/>
    <x v="22"/>
    <x v="3"/>
    <n v="6"/>
    <n v="361"/>
    <x v="412"/>
    <x v="377"/>
    <d v="2024-10-23T00:00:00"/>
    <x v="1"/>
    <x v="3"/>
    <x v="0"/>
    <s v="CUST5644"/>
    <x v="0"/>
  </r>
  <r>
    <s v="ORD0415"/>
    <x v="23"/>
    <x v="4"/>
    <n v="8"/>
    <n v="487.52"/>
    <x v="413"/>
    <x v="378"/>
    <d v="2024-10-04T00:00:00"/>
    <x v="4"/>
    <x v="1"/>
    <x v="0"/>
    <s v="CUST9946"/>
    <x v="0"/>
  </r>
  <r>
    <s v="ORD0416"/>
    <x v="5"/>
    <x v="1"/>
    <n v="3"/>
    <n v="114.18"/>
    <x v="414"/>
    <x v="379"/>
    <d v="2025-08-07T00:00:00"/>
    <x v="0"/>
    <x v="3"/>
    <x v="2"/>
    <s v="CUST7078"/>
    <x v="1"/>
  </r>
  <r>
    <s v="ORD0417"/>
    <x v="23"/>
    <x v="4"/>
    <n v="1"/>
    <n v="421.02"/>
    <x v="415"/>
    <x v="380"/>
    <d v="2025-03-27T00:00:00"/>
    <x v="0"/>
    <x v="1"/>
    <x v="2"/>
    <s v="CUST8005"/>
    <x v="1"/>
  </r>
  <r>
    <s v="ORD0418"/>
    <x v="20"/>
    <x v="3"/>
    <n v="5"/>
    <n v="364.95"/>
    <x v="416"/>
    <x v="381"/>
    <d v="2025-08-14T00:00:00"/>
    <x v="0"/>
    <x v="3"/>
    <x v="2"/>
    <s v="CUST3071"/>
    <x v="1"/>
  </r>
  <r>
    <s v="ORD0419"/>
    <x v="23"/>
    <x v="4"/>
    <n v="4"/>
    <n v="316.24"/>
    <x v="417"/>
    <x v="382"/>
    <d v="2025-01-01T00:00:00"/>
    <x v="1"/>
    <x v="2"/>
    <x v="2"/>
    <s v="CUST4453"/>
    <x v="1"/>
  </r>
  <r>
    <s v="ORD0420"/>
    <x v="18"/>
    <x v="4"/>
    <n v="4"/>
    <n v="254.9"/>
    <x v="418"/>
    <x v="383"/>
    <d v="2024-07-15T00:00:00"/>
    <x v="6"/>
    <x v="2"/>
    <x v="2"/>
    <s v="CUST2712"/>
    <x v="1"/>
  </r>
  <r>
    <s v="ORD0421"/>
    <x v="28"/>
    <x v="3"/>
    <n v="3"/>
    <n v="291.44"/>
    <x v="419"/>
    <x v="384"/>
    <d v="2024-02-24T00:00:00"/>
    <x v="5"/>
    <x v="2"/>
    <x v="1"/>
    <s v="CUST6631"/>
    <x v="1"/>
  </r>
  <r>
    <s v="ORD0422"/>
    <x v="24"/>
    <x v="5"/>
    <n v="4"/>
    <n v="437.34"/>
    <x v="420"/>
    <x v="385"/>
    <d v="2024-02-22T00:00:00"/>
    <x v="0"/>
    <x v="2"/>
    <x v="3"/>
    <s v="CUST2394"/>
    <x v="1"/>
  </r>
  <r>
    <s v="ORD0423"/>
    <x v="28"/>
    <x v="3"/>
    <n v="6"/>
    <n v="182.78"/>
    <x v="421"/>
    <x v="386"/>
    <d v="2024-10-04T00:00:00"/>
    <x v="4"/>
    <x v="0"/>
    <x v="1"/>
    <s v="CUST1529"/>
    <x v="1"/>
  </r>
  <r>
    <s v="ORD0424"/>
    <x v="25"/>
    <x v="4"/>
    <n v="8"/>
    <n v="418.82"/>
    <x v="422"/>
    <x v="387"/>
    <d v="2025-01-06T00:00:00"/>
    <x v="6"/>
    <x v="1"/>
    <x v="2"/>
    <s v="CUST4591"/>
    <x v="0"/>
  </r>
  <r>
    <s v="ORD0425"/>
    <x v="20"/>
    <x v="3"/>
    <n v="4"/>
    <n v="454.97"/>
    <x v="423"/>
    <x v="388"/>
    <d v="2024-08-21T00:00:00"/>
    <x v="1"/>
    <x v="3"/>
    <x v="1"/>
    <s v="CUST1525"/>
    <x v="1"/>
  </r>
  <r>
    <s v="ORD0426"/>
    <x v="1"/>
    <x v="0"/>
    <n v="2"/>
    <n v="94.58"/>
    <x v="424"/>
    <x v="4"/>
    <d v="2025-04-16T00:00:00"/>
    <x v="1"/>
    <x v="0"/>
    <x v="3"/>
    <s v="CUST5648"/>
    <x v="1"/>
  </r>
  <r>
    <s v="ORD0427"/>
    <x v="3"/>
    <x v="1"/>
    <n v="6"/>
    <n v="436.02"/>
    <x v="425"/>
    <x v="389"/>
    <d v="2024-09-14T00:00:00"/>
    <x v="5"/>
    <x v="0"/>
    <x v="1"/>
    <s v="CUST1013"/>
    <x v="0"/>
  </r>
  <r>
    <s v="ORD0428"/>
    <x v="5"/>
    <x v="1"/>
    <n v="8"/>
    <n v="291.81"/>
    <x v="426"/>
    <x v="390"/>
    <d v="2023-03-25T00:00:00"/>
    <x v="5"/>
    <x v="2"/>
    <x v="0"/>
    <s v="CUST9321"/>
    <x v="0"/>
  </r>
  <r>
    <s v="ORD0429"/>
    <x v="21"/>
    <x v="5"/>
    <n v="7"/>
    <n v="85.94"/>
    <x v="427"/>
    <x v="391"/>
    <d v="2025-06-09T00:00:00"/>
    <x v="6"/>
    <x v="1"/>
    <x v="3"/>
    <s v="CUST9219"/>
    <x v="1"/>
  </r>
  <r>
    <s v="ORD0430"/>
    <x v="26"/>
    <x v="0"/>
    <n v="2"/>
    <n v="429.7"/>
    <x v="428"/>
    <x v="392"/>
    <d v="2023-09-18T00:00:00"/>
    <x v="6"/>
    <x v="2"/>
    <x v="1"/>
    <s v="CUST6543"/>
    <x v="1"/>
  </r>
  <r>
    <s v="ORD0431"/>
    <x v="7"/>
    <x v="2"/>
    <n v="8"/>
    <n v="201.35"/>
    <x v="429"/>
    <x v="393"/>
    <d v="2025-07-07T00:00:00"/>
    <x v="6"/>
    <x v="1"/>
    <x v="0"/>
    <s v="CUST4374"/>
    <x v="1"/>
  </r>
  <r>
    <s v="ORD0432"/>
    <x v="10"/>
    <x v="3"/>
    <n v="3"/>
    <n v="223.8"/>
    <x v="430"/>
    <x v="394"/>
    <d v="2024-08-14T00:00:00"/>
    <x v="1"/>
    <x v="2"/>
    <x v="1"/>
    <s v="CUST6724"/>
    <x v="1"/>
  </r>
  <r>
    <s v="ORD0433"/>
    <x v="4"/>
    <x v="0"/>
    <n v="9"/>
    <n v="218.29"/>
    <x v="431"/>
    <x v="395"/>
    <d v="2023-10-03T00:00:00"/>
    <x v="3"/>
    <x v="0"/>
    <x v="1"/>
    <s v="CUST6895"/>
    <x v="1"/>
  </r>
  <r>
    <s v="ORD0434"/>
    <x v="7"/>
    <x v="2"/>
    <n v="1"/>
    <n v="130"/>
    <x v="432"/>
    <x v="396"/>
    <d v="2025-06-04T00:00:00"/>
    <x v="1"/>
    <x v="0"/>
    <x v="3"/>
    <s v="CUST7099"/>
    <x v="1"/>
  </r>
  <r>
    <s v="ORD0435"/>
    <x v="19"/>
    <x v="2"/>
    <n v="9"/>
    <n v="304.74"/>
    <x v="433"/>
    <x v="125"/>
    <d v="2024-11-17T00:00:00"/>
    <x v="2"/>
    <x v="2"/>
    <x v="0"/>
    <s v="CUST7116"/>
    <x v="0"/>
  </r>
  <r>
    <s v="ORD0436"/>
    <x v="5"/>
    <x v="1"/>
    <n v="5"/>
    <n v="391.99"/>
    <x v="434"/>
    <x v="397"/>
    <d v="2024-09-23T00:00:00"/>
    <x v="6"/>
    <x v="1"/>
    <x v="3"/>
    <s v="CUST3203"/>
    <x v="1"/>
  </r>
  <r>
    <s v="ORD0437"/>
    <x v="22"/>
    <x v="3"/>
    <n v="6"/>
    <n v="106.89"/>
    <x v="435"/>
    <x v="30"/>
    <d v="2025-08-14T00:00:00"/>
    <x v="0"/>
    <x v="2"/>
    <x v="3"/>
    <s v="CUST2939"/>
    <x v="1"/>
  </r>
  <r>
    <s v="ORD0438"/>
    <x v="8"/>
    <x v="2"/>
    <n v="2"/>
    <n v="493.41"/>
    <x v="436"/>
    <x v="16"/>
    <d v="2025-08-26T00:00:00"/>
    <x v="3"/>
    <x v="0"/>
    <x v="0"/>
    <s v="CUST1281"/>
    <x v="1"/>
  </r>
  <r>
    <s v="ORD0439"/>
    <x v="29"/>
    <x v="5"/>
    <n v="1"/>
    <n v="65.44"/>
    <x v="437"/>
    <x v="398"/>
    <d v="2023-07-17T00:00:00"/>
    <x v="6"/>
    <x v="1"/>
    <x v="1"/>
    <s v="CUST6178"/>
    <x v="1"/>
  </r>
  <r>
    <s v="ORD0440"/>
    <x v="29"/>
    <x v="5"/>
    <n v="5"/>
    <n v="56.14"/>
    <x v="438"/>
    <x v="247"/>
    <d v="2024-11-21T00:00:00"/>
    <x v="0"/>
    <x v="2"/>
    <x v="3"/>
    <s v="CUST2229"/>
    <x v="1"/>
  </r>
  <r>
    <s v="ORD0441"/>
    <x v="22"/>
    <x v="3"/>
    <n v="4"/>
    <n v="493.38"/>
    <x v="439"/>
    <x v="399"/>
    <d v="2023-08-04T00:00:00"/>
    <x v="4"/>
    <x v="3"/>
    <x v="2"/>
    <s v="CUST6370"/>
    <x v="1"/>
  </r>
  <r>
    <s v="ORD0442"/>
    <x v="21"/>
    <x v="5"/>
    <n v="2"/>
    <n v="164.95"/>
    <x v="440"/>
    <x v="400"/>
    <d v="2025-03-07T00:00:00"/>
    <x v="4"/>
    <x v="2"/>
    <x v="3"/>
    <s v="CUST6342"/>
    <x v="1"/>
  </r>
  <r>
    <s v="ORD0443"/>
    <x v="25"/>
    <x v="4"/>
    <n v="8"/>
    <n v="260.22000000000003"/>
    <x v="441"/>
    <x v="401"/>
    <d v="2023-06-27T00:00:00"/>
    <x v="3"/>
    <x v="3"/>
    <x v="3"/>
    <s v="CUST8595"/>
    <x v="0"/>
  </r>
  <r>
    <s v="ORD0444"/>
    <x v="19"/>
    <x v="2"/>
    <n v="6"/>
    <n v="74.13"/>
    <x v="442"/>
    <x v="402"/>
    <d v="2024-01-19T00:00:00"/>
    <x v="4"/>
    <x v="0"/>
    <x v="0"/>
    <s v="CUST6757"/>
    <x v="1"/>
  </r>
  <r>
    <s v="ORD0445"/>
    <x v="25"/>
    <x v="4"/>
    <n v="4"/>
    <n v="353.82"/>
    <x v="443"/>
    <x v="403"/>
    <d v="2025-01-15T00:00:00"/>
    <x v="1"/>
    <x v="3"/>
    <x v="2"/>
    <s v="CUST1891"/>
    <x v="1"/>
  </r>
  <r>
    <s v="ORD0446"/>
    <x v="26"/>
    <x v="0"/>
    <n v="7"/>
    <n v="85.38"/>
    <x v="444"/>
    <x v="404"/>
    <d v="2023-12-07T00:00:00"/>
    <x v="0"/>
    <x v="3"/>
    <x v="0"/>
    <s v="CUST9320"/>
    <x v="1"/>
  </r>
  <r>
    <s v="ORD0447"/>
    <x v="11"/>
    <x v="4"/>
    <n v="7"/>
    <n v="337.94"/>
    <x v="445"/>
    <x v="405"/>
    <d v="2023-12-18T00:00:00"/>
    <x v="6"/>
    <x v="1"/>
    <x v="1"/>
    <s v="CUST5612"/>
    <x v="0"/>
  </r>
  <r>
    <s v="ORD0448"/>
    <x v="23"/>
    <x v="4"/>
    <n v="6"/>
    <n v="131.38"/>
    <x v="446"/>
    <x v="406"/>
    <d v="2023-07-12T00:00:00"/>
    <x v="1"/>
    <x v="0"/>
    <x v="0"/>
    <s v="CUST6238"/>
    <x v="1"/>
  </r>
  <r>
    <s v="ORD0449"/>
    <x v="6"/>
    <x v="0"/>
    <n v="2"/>
    <n v="125.85"/>
    <x v="447"/>
    <x v="123"/>
    <d v="2024-06-21T00:00:00"/>
    <x v="4"/>
    <x v="0"/>
    <x v="0"/>
    <s v="CUST4719"/>
    <x v="1"/>
  </r>
  <r>
    <s v="ORD0450"/>
    <x v="25"/>
    <x v="4"/>
    <n v="8"/>
    <n v="385.42"/>
    <x v="448"/>
    <x v="407"/>
    <d v="2025-09-13T00:00:00"/>
    <x v="5"/>
    <x v="3"/>
    <x v="1"/>
    <s v="CUST5440"/>
    <x v="0"/>
  </r>
  <r>
    <s v="ORD0451"/>
    <x v="11"/>
    <x v="4"/>
    <n v="4"/>
    <n v="339.87"/>
    <x v="449"/>
    <x v="408"/>
    <d v="2023-05-27T00:00:00"/>
    <x v="5"/>
    <x v="0"/>
    <x v="1"/>
    <s v="CUST4124"/>
    <x v="1"/>
  </r>
  <r>
    <s v="ORD0452"/>
    <x v="14"/>
    <x v="4"/>
    <n v="5"/>
    <n v="290.70999999999998"/>
    <x v="450"/>
    <x v="409"/>
    <d v="2025-08-15T00:00:00"/>
    <x v="4"/>
    <x v="2"/>
    <x v="2"/>
    <s v="CUST4291"/>
    <x v="1"/>
  </r>
  <r>
    <s v="ORD0453"/>
    <x v="10"/>
    <x v="3"/>
    <n v="2"/>
    <n v="499.71"/>
    <x v="451"/>
    <x v="410"/>
    <d v="2025-08-23T00:00:00"/>
    <x v="5"/>
    <x v="3"/>
    <x v="2"/>
    <s v="CUST1574"/>
    <x v="1"/>
  </r>
  <r>
    <s v="ORD0454"/>
    <x v="25"/>
    <x v="4"/>
    <n v="9"/>
    <n v="433.89"/>
    <x v="452"/>
    <x v="411"/>
    <d v="2023-03-30T00:00:00"/>
    <x v="0"/>
    <x v="3"/>
    <x v="3"/>
    <s v="CUST7924"/>
    <x v="0"/>
  </r>
  <r>
    <s v="ORD0455"/>
    <x v="21"/>
    <x v="5"/>
    <n v="9"/>
    <n v="49.79"/>
    <x v="453"/>
    <x v="412"/>
    <d v="2023-06-08T00:00:00"/>
    <x v="0"/>
    <x v="1"/>
    <x v="0"/>
    <s v="CUST1488"/>
    <x v="1"/>
  </r>
  <r>
    <s v="ORD0456"/>
    <x v="14"/>
    <x v="4"/>
    <n v="4"/>
    <n v="327"/>
    <x v="454"/>
    <x v="308"/>
    <d v="2023-04-12T00:00:00"/>
    <x v="1"/>
    <x v="3"/>
    <x v="3"/>
    <s v="CUST2667"/>
    <x v="1"/>
  </r>
  <r>
    <s v="ORD0457"/>
    <x v="1"/>
    <x v="0"/>
    <n v="6"/>
    <n v="221.9"/>
    <x v="455"/>
    <x v="413"/>
    <d v="2024-04-26T00:00:00"/>
    <x v="4"/>
    <x v="3"/>
    <x v="1"/>
    <s v="CUST8761"/>
    <x v="1"/>
  </r>
  <r>
    <s v="ORD0458"/>
    <x v="3"/>
    <x v="1"/>
    <n v="9"/>
    <n v="162.01"/>
    <x v="456"/>
    <x v="414"/>
    <d v="2023-12-31T00:00:00"/>
    <x v="2"/>
    <x v="1"/>
    <x v="2"/>
    <s v="CUST6450"/>
    <x v="1"/>
  </r>
  <r>
    <s v="ORD0459"/>
    <x v="20"/>
    <x v="3"/>
    <n v="1"/>
    <n v="64.5"/>
    <x v="457"/>
    <x v="415"/>
    <d v="2025-04-01T00:00:00"/>
    <x v="3"/>
    <x v="0"/>
    <x v="0"/>
    <s v="CUST1454"/>
    <x v="1"/>
  </r>
  <r>
    <s v="ORD0460"/>
    <x v="2"/>
    <x v="1"/>
    <n v="9"/>
    <n v="167.55"/>
    <x v="458"/>
    <x v="416"/>
    <d v="2023-03-06T00:00:00"/>
    <x v="6"/>
    <x v="1"/>
    <x v="3"/>
    <s v="CUST5806"/>
    <x v="1"/>
  </r>
  <r>
    <s v="ORD0461"/>
    <x v="15"/>
    <x v="2"/>
    <n v="5"/>
    <n v="193.31"/>
    <x v="459"/>
    <x v="417"/>
    <d v="2024-08-27T00:00:00"/>
    <x v="3"/>
    <x v="2"/>
    <x v="3"/>
    <s v="CUST6592"/>
    <x v="1"/>
  </r>
  <r>
    <s v="ORD0462"/>
    <x v="25"/>
    <x v="4"/>
    <n v="1"/>
    <n v="122.58"/>
    <x v="460"/>
    <x v="13"/>
    <d v="2024-05-11T00:00:00"/>
    <x v="5"/>
    <x v="1"/>
    <x v="2"/>
    <s v="CUST7059"/>
    <x v="1"/>
  </r>
  <r>
    <s v="ORD0463"/>
    <x v="3"/>
    <x v="1"/>
    <n v="6"/>
    <n v="41.23"/>
    <x v="461"/>
    <x v="418"/>
    <d v="2025-05-16T00:00:00"/>
    <x v="4"/>
    <x v="0"/>
    <x v="1"/>
    <s v="CUST8117"/>
    <x v="1"/>
  </r>
  <r>
    <s v="ORD0464"/>
    <x v="10"/>
    <x v="3"/>
    <n v="2"/>
    <n v="234.43"/>
    <x v="462"/>
    <x v="419"/>
    <d v="2023-01-03T00:00:00"/>
    <x v="3"/>
    <x v="1"/>
    <x v="3"/>
    <s v="CUST7228"/>
    <x v="1"/>
  </r>
  <r>
    <s v="ORD0465"/>
    <x v="13"/>
    <x v="5"/>
    <n v="8"/>
    <n v="261.95"/>
    <x v="463"/>
    <x v="420"/>
    <d v="2024-03-29T00:00:00"/>
    <x v="4"/>
    <x v="1"/>
    <x v="0"/>
    <s v="CUST2177"/>
    <x v="0"/>
  </r>
  <r>
    <s v="ORD0466"/>
    <x v="17"/>
    <x v="1"/>
    <n v="9"/>
    <n v="193.2"/>
    <x v="39"/>
    <x v="38"/>
    <d v="2025-09-20T00:00:00"/>
    <x v="5"/>
    <x v="1"/>
    <x v="3"/>
    <s v="CUST5399"/>
    <x v="1"/>
  </r>
  <r>
    <s v="ORD0467"/>
    <x v="29"/>
    <x v="5"/>
    <n v="5"/>
    <n v="126.8"/>
    <x v="464"/>
    <x v="229"/>
    <d v="2025-01-09T00:00:00"/>
    <x v="0"/>
    <x v="2"/>
    <x v="0"/>
    <s v="CUST9234"/>
    <x v="1"/>
  </r>
  <r>
    <s v="ORD0468"/>
    <x v="22"/>
    <x v="3"/>
    <n v="7"/>
    <n v="407.43"/>
    <x v="465"/>
    <x v="421"/>
    <d v="2024-05-12T00:00:00"/>
    <x v="2"/>
    <x v="0"/>
    <x v="3"/>
    <s v="CUST7570"/>
    <x v="0"/>
  </r>
  <r>
    <s v="ORD0469"/>
    <x v="20"/>
    <x v="3"/>
    <n v="5"/>
    <n v="101.91"/>
    <x v="466"/>
    <x v="422"/>
    <d v="2023-12-02T00:00:00"/>
    <x v="5"/>
    <x v="2"/>
    <x v="2"/>
    <s v="CUST6243"/>
    <x v="1"/>
  </r>
  <r>
    <s v="ORD0470"/>
    <x v="1"/>
    <x v="0"/>
    <n v="9"/>
    <n v="329.07"/>
    <x v="467"/>
    <x v="423"/>
    <d v="2023-02-20T00:00:00"/>
    <x v="6"/>
    <x v="1"/>
    <x v="2"/>
    <s v="CUST1140"/>
    <x v="0"/>
  </r>
  <r>
    <s v="ORD0471"/>
    <x v="9"/>
    <x v="2"/>
    <n v="6"/>
    <n v="101.31"/>
    <x v="468"/>
    <x v="424"/>
    <d v="2023-11-30T00:00:00"/>
    <x v="0"/>
    <x v="0"/>
    <x v="3"/>
    <s v="CUST7012"/>
    <x v="1"/>
  </r>
  <r>
    <s v="ORD0472"/>
    <x v="5"/>
    <x v="1"/>
    <n v="4"/>
    <n v="132.1"/>
    <x v="469"/>
    <x v="425"/>
    <d v="2024-07-17T00:00:00"/>
    <x v="1"/>
    <x v="0"/>
    <x v="3"/>
    <s v="CUST4610"/>
    <x v="1"/>
  </r>
  <r>
    <s v="ORD0473"/>
    <x v="5"/>
    <x v="1"/>
    <n v="3"/>
    <n v="292.56"/>
    <x v="470"/>
    <x v="426"/>
    <d v="2023-04-16T00:00:00"/>
    <x v="2"/>
    <x v="2"/>
    <x v="1"/>
    <s v="CUST6539"/>
    <x v="1"/>
  </r>
  <r>
    <s v="ORD0474"/>
    <x v="12"/>
    <x v="5"/>
    <n v="2"/>
    <n v="202.95"/>
    <x v="471"/>
    <x v="354"/>
    <d v="2024-08-11T00:00:00"/>
    <x v="2"/>
    <x v="0"/>
    <x v="0"/>
    <s v="CUST7787"/>
    <x v="1"/>
  </r>
  <r>
    <s v="ORD0475"/>
    <x v="10"/>
    <x v="3"/>
    <n v="9"/>
    <n v="263.63"/>
    <x v="472"/>
    <x v="427"/>
    <d v="2023-09-20T00:00:00"/>
    <x v="1"/>
    <x v="1"/>
    <x v="1"/>
    <s v="CUST8052"/>
    <x v="0"/>
  </r>
  <r>
    <s v="ORD0476"/>
    <x v="15"/>
    <x v="2"/>
    <n v="7"/>
    <n v="151.16"/>
    <x v="473"/>
    <x v="428"/>
    <d v="2023-08-29T00:00:00"/>
    <x v="3"/>
    <x v="1"/>
    <x v="1"/>
    <s v="CUST9105"/>
    <x v="1"/>
  </r>
  <r>
    <s v="ORD0477"/>
    <x v="6"/>
    <x v="0"/>
    <n v="8"/>
    <n v="481.65"/>
    <x v="474"/>
    <x v="429"/>
    <d v="2024-03-27T00:00:00"/>
    <x v="1"/>
    <x v="1"/>
    <x v="1"/>
    <s v="CUST2798"/>
    <x v="0"/>
  </r>
  <r>
    <s v="ORD0478"/>
    <x v="21"/>
    <x v="5"/>
    <n v="6"/>
    <n v="277.36"/>
    <x v="475"/>
    <x v="430"/>
    <d v="2024-01-11T00:00:00"/>
    <x v="0"/>
    <x v="2"/>
    <x v="2"/>
    <s v="CUST7284"/>
    <x v="1"/>
  </r>
  <r>
    <s v="ORD0479"/>
    <x v="29"/>
    <x v="5"/>
    <n v="7"/>
    <n v="320.8"/>
    <x v="476"/>
    <x v="431"/>
    <d v="2023-10-04T00:00:00"/>
    <x v="1"/>
    <x v="1"/>
    <x v="0"/>
    <s v="CUST7869"/>
    <x v="0"/>
  </r>
  <r>
    <s v="ORD0480"/>
    <x v="8"/>
    <x v="2"/>
    <n v="9"/>
    <n v="397.9"/>
    <x v="477"/>
    <x v="432"/>
    <d v="2025-02-21T00:00:00"/>
    <x v="4"/>
    <x v="2"/>
    <x v="0"/>
    <s v="CUST1009"/>
    <x v="0"/>
  </r>
  <r>
    <s v="ORD0481"/>
    <x v="11"/>
    <x v="4"/>
    <n v="8"/>
    <n v="208.46"/>
    <x v="478"/>
    <x v="433"/>
    <d v="2024-09-28T00:00:00"/>
    <x v="5"/>
    <x v="0"/>
    <x v="2"/>
    <s v="CUST7295"/>
    <x v="1"/>
  </r>
  <r>
    <s v="ORD0482"/>
    <x v="21"/>
    <x v="5"/>
    <n v="1"/>
    <n v="122.25"/>
    <x v="479"/>
    <x v="13"/>
    <d v="2023-10-20T00:00:00"/>
    <x v="4"/>
    <x v="1"/>
    <x v="0"/>
    <s v="CUST6699"/>
    <x v="1"/>
  </r>
  <r>
    <s v="ORD0483"/>
    <x v="5"/>
    <x v="1"/>
    <n v="2"/>
    <n v="367.32"/>
    <x v="480"/>
    <x v="434"/>
    <d v="2024-09-03T00:00:00"/>
    <x v="3"/>
    <x v="2"/>
    <x v="0"/>
    <s v="CUST8227"/>
    <x v="1"/>
  </r>
  <r>
    <s v="ORD0484"/>
    <x v="18"/>
    <x v="4"/>
    <n v="7"/>
    <n v="335.44"/>
    <x v="481"/>
    <x v="435"/>
    <d v="2023-05-26T00:00:00"/>
    <x v="4"/>
    <x v="3"/>
    <x v="0"/>
    <s v="CUST6010"/>
    <x v="0"/>
  </r>
  <r>
    <s v="ORD0485"/>
    <x v="15"/>
    <x v="2"/>
    <n v="4"/>
    <n v="79.099999999999994"/>
    <x v="482"/>
    <x v="436"/>
    <d v="2024-03-14T00:00:00"/>
    <x v="0"/>
    <x v="0"/>
    <x v="3"/>
    <s v="CUST1482"/>
    <x v="1"/>
  </r>
  <r>
    <s v="ORD0486"/>
    <x v="20"/>
    <x v="3"/>
    <n v="2"/>
    <n v="239.08"/>
    <x v="483"/>
    <x v="437"/>
    <d v="2024-10-22T00:00:00"/>
    <x v="3"/>
    <x v="2"/>
    <x v="1"/>
    <s v="CUST9853"/>
    <x v="1"/>
  </r>
  <r>
    <s v="ORD0487"/>
    <x v="1"/>
    <x v="0"/>
    <n v="5"/>
    <n v="322.77999999999997"/>
    <x v="484"/>
    <x v="438"/>
    <d v="2025-09-14T00:00:00"/>
    <x v="2"/>
    <x v="2"/>
    <x v="2"/>
    <s v="CUST8622"/>
    <x v="1"/>
  </r>
  <r>
    <s v="ORD0488"/>
    <x v="29"/>
    <x v="5"/>
    <n v="9"/>
    <n v="198.5"/>
    <x v="485"/>
    <x v="439"/>
    <d v="2024-05-23T00:00:00"/>
    <x v="0"/>
    <x v="3"/>
    <x v="3"/>
    <s v="CUST9632"/>
    <x v="1"/>
  </r>
  <r>
    <s v="ORD0489"/>
    <x v="20"/>
    <x v="3"/>
    <n v="9"/>
    <n v="493.95"/>
    <x v="486"/>
    <x v="440"/>
    <d v="2025-03-13T00:00:00"/>
    <x v="0"/>
    <x v="3"/>
    <x v="1"/>
    <s v="CUST5358"/>
    <x v="0"/>
  </r>
  <r>
    <s v="ORD0490"/>
    <x v="1"/>
    <x v="0"/>
    <n v="5"/>
    <n v="339.54"/>
    <x v="487"/>
    <x v="441"/>
    <d v="2024-07-07T00:00:00"/>
    <x v="2"/>
    <x v="0"/>
    <x v="0"/>
    <s v="CUST7780"/>
    <x v="1"/>
  </r>
  <r>
    <s v="ORD0491"/>
    <x v="25"/>
    <x v="4"/>
    <n v="7"/>
    <n v="363.64"/>
    <x v="488"/>
    <x v="442"/>
    <d v="2024-04-03T00:00:00"/>
    <x v="1"/>
    <x v="0"/>
    <x v="2"/>
    <s v="CUST3349"/>
    <x v="0"/>
  </r>
  <r>
    <s v="ORD0492"/>
    <x v="29"/>
    <x v="5"/>
    <n v="3"/>
    <n v="303.58999999999997"/>
    <x v="489"/>
    <x v="443"/>
    <d v="2023-04-12T00:00:00"/>
    <x v="1"/>
    <x v="3"/>
    <x v="1"/>
    <s v="CUST7764"/>
    <x v="1"/>
  </r>
  <r>
    <s v="ORD0493"/>
    <x v="6"/>
    <x v="0"/>
    <n v="4"/>
    <n v="47.4"/>
    <x v="490"/>
    <x v="4"/>
    <d v="2023-12-19T00:00:00"/>
    <x v="3"/>
    <x v="0"/>
    <x v="1"/>
    <s v="CUST8843"/>
    <x v="1"/>
  </r>
  <r>
    <s v="ORD0494"/>
    <x v="4"/>
    <x v="0"/>
    <n v="3"/>
    <n v="203.59"/>
    <x v="491"/>
    <x v="444"/>
    <d v="2023-12-19T00:00:00"/>
    <x v="3"/>
    <x v="0"/>
    <x v="3"/>
    <s v="CUST6189"/>
    <x v="1"/>
  </r>
  <r>
    <s v="ORD0495"/>
    <x v="2"/>
    <x v="1"/>
    <n v="9"/>
    <n v="310.49"/>
    <x v="492"/>
    <x v="445"/>
    <d v="2025-02-19T00:00:00"/>
    <x v="1"/>
    <x v="0"/>
    <x v="1"/>
    <s v="CUST7704"/>
    <x v="0"/>
  </r>
  <r>
    <s v="ORD0496"/>
    <x v="20"/>
    <x v="3"/>
    <n v="2"/>
    <n v="336.45"/>
    <x v="493"/>
    <x v="446"/>
    <d v="2024-03-03T00:00:00"/>
    <x v="2"/>
    <x v="0"/>
    <x v="2"/>
    <s v="CUST4610"/>
    <x v="1"/>
  </r>
  <r>
    <s v="ORD0497"/>
    <x v="3"/>
    <x v="1"/>
    <n v="5"/>
    <n v="139.22"/>
    <x v="494"/>
    <x v="447"/>
    <d v="2024-12-12T00:00:00"/>
    <x v="0"/>
    <x v="1"/>
    <x v="0"/>
    <s v="CUST9258"/>
    <x v="1"/>
  </r>
  <r>
    <s v="ORD0498"/>
    <x v="14"/>
    <x v="4"/>
    <n v="6"/>
    <n v="119.26"/>
    <x v="495"/>
    <x v="448"/>
    <d v="2023-02-27T00:00:00"/>
    <x v="6"/>
    <x v="3"/>
    <x v="2"/>
    <s v="CUST8426"/>
    <x v="1"/>
  </r>
  <r>
    <s v="ORD0499"/>
    <x v="2"/>
    <x v="1"/>
    <n v="6"/>
    <n v="336.4"/>
    <x v="496"/>
    <x v="449"/>
    <d v="2024-12-27T00:00:00"/>
    <x v="4"/>
    <x v="2"/>
    <x v="3"/>
    <s v="CUST6291"/>
    <x v="0"/>
  </r>
  <r>
    <s v="ORD0500"/>
    <x v="27"/>
    <x v="1"/>
    <n v="2"/>
    <n v="184.66"/>
    <x v="497"/>
    <x v="267"/>
    <d v="2025-03-13T00:00:00"/>
    <x v="0"/>
    <x v="3"/>
    <x v="1"/>
    <s v="CUST5211"/>
    <x v="1"/>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name="PivotTable3" cacheId="0" applyNumberFormats="0" applyBorderFormats="0" applyFontFormats="0" applyPatternFormats="0" applyAlignmentFormats="0" applyWidthHeightFormats="1" dataCaption="Values" updatedVersion="4" minRefreshableVersion="3" useAutoFormatting="1" itemPrintTitles="1" createdVersion="4" indent="0" outline="1" outlineData="1" multipleFieldFilters="0" chartFormat="6">
  <location ref="M3:N8" firstHeaderRow="1" firstDataRow="1" firstDataCol="1"/>
  <pivotFields count="13">
    <pivotField showAll="0"/>
    <pivotField showAll="0"/>
    <pivotField showAll="0"/>
    <pivotField showAll="0"/>
    <pivotField showAll="0"/>
    <pivotField showAll="0">
      <items count="499">
        <item x="390"/>
        <item x="163"/>
        <item x="271"/>
        <item x="241"/>
        <item x="265"/>
        <item x="123"/>
        <item x="219"/>
        <item x="143"/>
        <item x="397"/>
        <item x="112"/>
        <item x="5"/>
        <item x="58"/>
        <item x="293"/>
        <item x="132"/>
        <item x="384"/>
        <item x="238"/>
        <item x="29"/>
        <item x="20"/>
        <item x="457"/>
        <item x="437"/>
        <item x="64"/>
        <item x="329"/>
        <item x="408"/>
        <item x="310"/>
        <item x="407"/>
        <item x="43"/>
        <item x="396"/>
        <item x="50"/>
        <item x="134"/>
        <item x="345"/>
        <item x="216"/>
        <item x="261"/>
        <item x="73"/>
        <item x="223"/>
        <item x="9"/>
        <item x="36"/>
        <item x="230"/>
        <item x="479"/>
        <item x="460"/>
        <item x="13"/>
        <item x="154"/>
        <item x="169"/>
        <item x="432"/>
        <item x="88"/>
        <item x="145"/>
        <item x="11"/>
        <item x="188"/>
        <item x="287"/>
        <item x="190"/>
        <item x="272"/>
        <item x="124"/>
        <item x="367"/>
        <item x="103"/>
        <item x="321"/>
        <item x="379"/>
        <item x="224"/>
        <item x="297"/>
        <item x="28"/>
        <item x="359"/>
        <item x="339"/>
        <item x="139"/>
        <item x="217"/>
        <item x="411"/>
        <item x="424"/>
        <item x="490"/>
        <item x="4"/>
        <item x="160"/>
        <item x="149"/>
        <item x="3"/>
        <item x="336"/>
        <item x="296"/>
        <item x="380"/>
        <item x="98"/>
        <item x="110"/>
        <item x="162"/>
        <item x="350"/>
        <item x="337"/>
        <item x="461"/>
        <item x="447"/>
        <item x="203"/>
        <item x="126"/>
        <item x="226"/>
        <item x="248"/>
        <item x="324"/>
        <item x="82"/>
        <item x="371"/>
        <item x="79"/>
        <item x="114"/>
        <item x="234"/>
        <item x="107"/>
        <item x="69"/>
        <item x="171"/>
        <item x="366"/>
        <item x="438"/>
        <item x="262"/>
        <item x="113"/>
        <item x="289"/>
        <item x="187"/>
        <item x="362"/>
        <item x="257"/>
        <item x="148"/>
        <item x="482"/>
        <item x="133"/>
        <item x="440"/>
        <item x="313"/>
        <item x="168"/>
        <item x="409"/>
        <item x="303"/>
        <item x="414"/>
        <item x="347"/>
        <item x="365"/>
        <item x="56"/>
        <item x="72"/>
        <item x="21"/>
        <item x="48"/>
        <item x="497"/>
        <item x="282"/>
        <item x="243"/>
        <item x="305"/>
        <item x="269"/>
        <item x="166"/>
        <item x="258"/>
        <item x="372"/>
        <item x="342"/>
        <item x="177"/>
        <item x="85"/>
        <item x="14"/>
        <item x="301"/>
        <item x="383"/>
        <item x="471"/>
        <item x="1"/>
        <item x="398"/>
        <item x="351"/>
        <item x="308"/>
        <item x="415"/>
        <item x="83"/>
        <item x="319"/>
        <item x="12"/>
        <item x="191"/>
        <item x="250"/>
        <item x="355"/>
        <item x="186"/>
        <item x="442"/>
        <item x="453"/>
        <item x="196"/>
        <item x="335"/>
        <item x="349"/>
        <item x="67"/>
        <item x="462"/>
        <item x="256"/>
        <item x="140"/>
        <item x="401"/>
        <item x="392"/>
        <item x="167"/>
        <item x="483"/>
        <item x="309"/>
        <item x="44"/>
        <item x="136"/>
        <item x="65"/>
        <item x="399"/>
        <item x="346"/>
        <item x="78"/>
        <item x="214"/>
        <item x="268"/>
        <item x="141"/>
        <item x="42"/>
        <item x="466"/>
        <item x="326"/>
        <item x="469"/>
        <item x="267"/>
        <item x="55"/>
        <item x="194"/>
        <item x="63"/>
        <item x="270"/>
        <item x="202"/>
        <item x="6"/>
        <item x="358"/>
        <item x="444"/>
        <item x="427"/>
        <item x="295"/>
        <item x="185"/>
        <item x="468"/>
        <item x="491"/>
        <item x="304"/>
        <item x="33"/>
        <item x="240"/>
        <item x="464"/>
        <item x="53"/>
        <item x="435"/>
        <item x="31"/>
        <item x="227"/>
        <item x="382"/>
        <item x="430"/>
        <item x="493"/>
        <item x="328"/>
        <item x="40"/>
        <item x="260"/>
        <item x="404"/>
        <item x="494"/>
        <item x="205"/>
        <item x="333"/>
        <item x="151"/>
        <item x="137"/>
        <item x="495"/>
        <item x="26"/>
        <item x="37"/>
        <item x="200"/>
        <item x="192"/>
        <item x="480"/>
        <item x="41"/>
        <item x="119"/>
        <item x="106"/>
        <item x="375"/>
        <item x="446"/>
        <item x="182"/>
        <item x="273"/>
        <item x="70"/>
        <item x="228"/>
        <item x="400"/>
        <item x="66"/>
        <item x="361"/>
        <item x="93"/>
        <item x="322"/>
        <item x="259"/>
        <item x="253"/>
        <item x="428"/>
        <item x="373"/>
        <item x="81"/>
        <item x="419"/>
        <item x="470"/>
        <item x="135"/>
        <item x="45"/>
        <item x="280"/>
        <item x="142"/>
        <item x="181"/>
        <item x="115"/>
        <item x="51"/>
        <item x="252"/>
        <item x="25"/>
        <item x="391"/>
        <item x="96"/>
        <item x="489"/>
        <item x="281"/>
        <item x="239"/>
        <item x="180"/>
        <item x="91"/>
        <item x="403"/>
        <item x="229"/>
        <item x="459"/>
        <item x="131"/>
        <item x="275"/>
        <item x="436"/>
        <item x="16"/>
        <item x="451"/>
        <item x="147"/>
        <item x="105"/>
        <item x="356"/>
        <item x="418"/>
        <item x="274"/>
        <item x="178"/>
        <item x="84"/>
        <item x="60"/>
        <item x="473"/>
        <item x="255"/>
        <item x="242"/>
        <item x="421"/>
        <item x="24"/>
        <item x="146"/>
        <item x="387"/>
        <item x="30"/>
        <item x="102"/>
        <item x="307"/>
        <item x="27"/>
        <item x="237"/>
        <item x="198"/>
        <item x="125"/>
        <item x="74"/>
        <item x="92"/>
        <item x="109"/>
        <item x="138"/>
        <item x="288"/>
        <item x="95"/>
        <item x="104"/>
        <item x="209"/>
        <item x="330"/>
        <item x="155"/>
        <item x="52"/>
        <item x="294"/>
        <item x="111"/>
        <item x="46"/>
        <item x="156"/>
        <item x="354"/>
        <item x="129"/>
        <item x="283"/>
        <item x="417"/>
        <item x="291"/>
        <item x="7"/>
        <item x="370"/>
        <item x="327"/>
        <item x="454"/>
        <item x="184"/>
        <item x="455"/>
        <item x="323"/>
        <item x="76"/>
        <item x="127"/>
        <item x="174"/>
        <item x="176"/>
        <item x="449"/>
        <item x="2"/>
        <item x="18"/>
        <item x="443"/>
        <item x="343"/>
        <item x="376"/>
        <item x="334"/>
        <item x="152"/>
        <item x="300"/>
        <item x="450"/>
        <item x="456"/>
        <item x="159"/>
        <item x="77"/>
        <item x="17"/>
        <item x="410"/>
        <item x="458"/>
        <item x="264"/>
        <item x="298"/>
        <item x="97"/>
        <item x="254"/>
        <item x="251"/>
        <item x="101"/>
        <item x="157"/>
        <item x="38"/>
        <item x="325"/>
        <item x="386"/>
        <item x="150"/>
        <item x="100"/>
        <item x="429"/>
        <item x="484"/>
        <item x="475"/>
        <item x="478"/>
        <item x="320"/>
        <item x="487"/>
        <item x="206"/>
        <item x="122"/>
        <item x="39"/>
        <item x="420"/>
        <item x="389"/>
        <item x="215"/>
        <item x="388"/>
        <item x="86"/>
        <item x="201"/>
        <item x="61"/>
        <item x="90"/>
        <item x="485"/>
        <item x="34"/>
        <item x="402"/>
        <item x="195"/>
        <item x="423"/>
        <item x="416"/>
        <item x="204"/>
        <item x="318"/>
        <item x="175"/>
        <item x="246"/>
        <item x="15"/>
        <item x="311"/>
        <item x="332"/>
        <item x="130"/>
        <item x="360"/>
        <item x="395"/>
        <item x="369"/>
        <item x="8"/>
        <item x="32"/>
        <item x="277"/>
        <item x="212"/>
        <item x="285"/>
        <item x="236"/>
        <item x="434"/>
        <item x="431"/>
        <item x="49"/>
        <item x="439"/>
        <item x="284"/>
        <item x="235"/>
        <item x="211"/>
        <item x="496"/>
        <item x="263"/>
        <item x="244"/>
        <item x="221"/>
        <item x="341"/>
        <item x="441"/>
        <item x="463"/>
        <item x="299"/>
        <item x="80"/>
        <item x="183"/>
        <item x="368"/>
        <item x="213"/>
        <item x="10"/>
        <item x="99"/>
        <item x="412"/>
        <item x="189"/>
        <item x="302"/>
        <item x="59"/>
        <item x="75"/>
        <item x="476"/>
        <item x="393"/>
        <item x="292"/>
        <item x="231"/>
        <item x="377"/>
        <item x="385"/>
        <item x="378"/>
        <item x="22"/>
        <item x="170"/>
        <item x="405"/>
        <item x="426"/>
        <item x="57"/>
        <item x="481"/>
        <item x="89"/>
        <item x="47"/>
        <item x="445"/>
        <item x="266"/>
        <item x="472"/>
        <item x="144"/>
        <item x="153"/>
        <item x="220"/>
        <item x="406"/>
        <item x="353"/>
        <item x="117"/>
        <item x="164"/>
        <item x="488"/>
        <item x="279"/>
        <item x="394"/>
        <item x="425"/>
        <item x="247"/>
        <item x="121"/>
        <item x="173"/>
        <item x="172"/>
        <item x="348"/>
        <item x="165"/>
        <item x="249"/>
        <item x="128"/>
        <item x="433"/>
        <item x="290"/>
        <item x="317"/>
        <item x="233"/>
        <item x="492"/>
        <item x="0"/>
        <item x="352"/>
        <item x="208"/>
        <item x="286"/>
        <item x="87"/>
        <item x="232"/>
        <item x="23"/>
        <item x="465"/>
        <item x="363"/>
        <item x="193"/>
        <item x="374"/>
        <item x="276"/>
        <item x="94"/>
        <item x="210"/>
        <item x="71"/>
        <item x="314"/>
        <item x="116"/>
        <item x="207"/>
        <item x="467"/>
        <item x="312"/>
        <item x="448"/>
        <item x="344"/>
        <item x="35"/>
        <item x="278"/>
        <item x="62"/>
        <item x="306"/>
        <item x="381"/>
        <item x="118"/>
        <item x="218"/>
        <item x="54"/>
        <item x="364"/>
        <item x="108"/>
        <item x="197"/>
        <item x="422"/>
        <item x="179"/>
        <item x="225"/>
        <item x="68"/>
        <item x="331"/>
        <item x="120"/>
        <item x="245"/>
        <item x="316"/>
        <item x="158"/>
        <item x="338"/>
        <item x="477"/>
        <item x="340"/>
        <item x="474"/>
        <item x="413"/>
        <item x="452"/>
        <item x="222"/>
        <item x="199"/>
        <item x="357"/>
        <item x="315"/>
        <item x="161"/>
        <item x="19"/>
        <item x="486"/>
        <item t="default"/>
      </items>
    </pivotField>
    <pivotField showAll="0"/>
    <pivotField numFmtId="14" showAll="0"/>
    <pivotField dataField="1" showAll="0">
      <items count="8">
        <item x="6"/>
        <item x="3"/>
        <item x="1"/>
        <item x="0"/>
        <item x="4"/>
        <item x="5"/>
        <item x="2"/>
        <item t="default"/>
      </items>
    </pivotField>
    <pivotField axis="axisRow" showAll="0">
      <items count="5">
        <item x="0"/>
        <item x="2"/>
        <item x="1"/>
        <item x="3"/>
        <item t="default"/>
      </items>
    </pivotField>
    <pivotField showAll="0">
      <items count="5">
        <item x="2"/>
        <item x="1"/>
        <item x="3"/>
        <item x="0"/>
        <item t="default"/>
      </items>
    </pivotField>
    <pivotField showAll="0"/>
    <pivotField showAll="0"/>
  </pivotFields>
  <rowFields count="1">
    <field x="9"/>
  </rowFields>
  <rowItems count="5">
    <i>
      <x/>
    </i>
    <i>
      <x v="1"/>
    </i>
    <i>
      <x v="2"/>
    </i>
    <i>
      <x v="3"/>
    </i>
    <i t="grand">
      <x/>
    </i>
  </rowItems>
  <colItems count="1">
    <i/>
  </colItems>
  <dataFields count="1">
    <dataField name="Count of Order Day" fld="8" subtotal="count" baseField="9" baseItem="0" numFmtId="10">
      <extLst>
        <ext xmlns:x14="http://schemas.microsoft.com/office/spreadsheetml/2009/9/main" uri="{E15A36E0-9728-4e99-A89B-3F7291B0FE68}">
          <x14:dataField pivotShowAs="percentOfParentRow"/>
        </ext>
      </extLst>
    </dataField>
  </dataFields>
  <chartFormats count="2">
    <chartFormat chart="1" format="0" series="1">
      <pivotArea type="data" outline="0" fieldPosition="0">
        <references count="1">
          <reference field="4294967294" count="1" selected="0">
            <x v="0"/>
          </reference>
        </references>
      </pivotArea>
    </chartFormat>
    <chartFormat chart="5"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2.xml><?xml version="1.0" encoding="utf-8"?>
<pivotTableDefinition xmlns="http://schemas.openxmlformats.org/spreadsheetml/2006/main" name="PivotTable2" cacheId="0" applyNumberFormats="0" applyBorderFormats="0" applyFontFormats="0" applyPatternFormats="0" applyAlignmentFormats="0" applyWidthHeightFormats="1" dataCaption="Values" updatedVersion="4" minRefreshableVersion="3" useAutoFormatting="1" itemPrintTitles="1" createdVersion="4" indent="0" outline="1" outlineData="1" multipleFieldFilters="0" chartFormat="3">
  <location ref="A3:B10" firstHeaderRow="1" firstDataRow="1" firstDataCol="1"/>
  <pivotFields count="13">
    <pivotField showAll="0"/>
    <pivotField showAll="0"/>
    <pivotField axis="axisRow" showAll="0">
      <items count="7">
        <item x="4"/>
        <item x="0"/>
        <item x="1"/>
        <item x="3"/>
        <item x="2"/>
        <item x="5"/>
        <item t="default"/>
      </items>
    </pivotField>
    <pivotField dataField="1" showAll="0"/>
    <pivotField showAll="0"/>
    <pivotField showAll="0"/>
    <pivotField showAll="0">
      <items count="451">
        <item x="360"/>
        <item x="158"/>
        <item x="256"/>
        <item x="230"/>
        <item x="250"/>
        <item x="120"/>
        <item x="139"/>
        <item x="109"/>
        <item x="5"/>
        <item x="57"/>
        <item x="276"/>
        <item x="129"/>
        <item x="20"/>
        <item x="415"/>
        <item x="398"/>
        <item x="63"/>
        <item x="374"/>
        <item x="292"/>
        <item x="373"/>
        <item x="42"/>
        <item x="49"/>
        <item x="131"/>
        <item x="208"/>
        <item x="246"/>
        <item x="72"/>
        <item x="214"/>
        <item x="9"/>
        <item x="35"/>
        <item x="221"/>
        <item x="13"/>
        <item x="150"/>
        <item x="164"/>
        <item x="396"/>
        <item x="87"/>
        <item x="141"/>
        <item x="11"/>
        <item x="183"/>
        <item x="185"/>
        <item x="257"/>
        <item x="121"/>
        <item x="339"/>
        <item x="100"/>
        <item x="303"/>
        <item x="215"/>
        <item x="280"/>
        <item x="28"/>
        <item x="135"/>
        <item x="209"/>
        <item x="376"/>
        <item x="4"/>
        <item x="155"/>
        <item x="145"/>
        <item x="3"/>
        <item x="316"/>
        <item x="279"/>
        <item x="351"/>
        <item x="95"/>
        <item x="107"/>
        <item x="157"/>
        <item x="327"/>
        <item x="317"/>
        <item x="418"/>
        <item x="123"/>
        <item x="217"/>
        <item x="236"/>
        <item x="81"/>
        <item x="343"/>
        <item x="78"/>
        <item x="111"/>
        <item x="224"/>
        <item x="104"/>
        <item x="68"/>
        <item x="166"/>
        <item x="247"/>
        <item x="110"/>
        <item x="182"/>
        <item x="336"/>
        <item x="242"/>
        <item x="144"/>
        <item x="436"/>
        <item x="130"/>
        <item x="400"/>
        <item x="295"/>
        <item x="163"/>
        <item x="286"/>
        <item x="379"/>
        <item x="324"/>
        <item x="55"/>
        <item x="71"/>
        <item x="21"/>
        <item x="47"/>
        <item x="267"/>
        <item x="232"/>
        <item x="254"/>
        <item x="161"/>
        <item x="243"/>
        <item x="344"/>
        <item x="320"/>
        <item x="172"/>
        <item x="84"/>
        <item x="14"/>
        <item x="284"/>
        <item x="354"/>
        <item x="1"/>
        <item x="365"/>
        <item x="328"/>
        <item x="290"/>
        <item x="380"/>
        <item x="82"/>
        <item x="301"/>
        <item x="12"/>
        <item x="186"/>
        <item x="331"/>
        <item x="181"/>
        <item x="402"/>
        <item x="412"/>
        <item x="190"/>
        <item x="315"/>
        <item x="326"/>
        <item x="66"/>
        <item x="419"/>
        <item x="241"/>
        <item x="136"/>
        <item x="362"/>
        <item x="162"/>
        <item x="437"/>
        <item x="291"/>
        <item x="43"/>
        <item x="64"/>
        <item x="366"/>
        <item x="323"/>
        <item x="77"/>
        <item x="206"/>
        <item x="253"/>
        <item x="137"/>
        <item x="41"/>
        <item x="422"/>
        <item x="307"/>
        <item x="425"/>
        <item x="252"/>
        <item x="54"/>
        <item x="62"/>
        <item x="255"/>
        <item x="195"/>
        <item x="6"/>
        <item x="333"/>
        <item x="404"/>
        <item x="391"/>
        <item x="278"/>
        <item x="180"/>
        <item x="424"/>
        <item x="444"/>
        <item x="287"/>
        <item x="32"/>
        <item x="229"/>
        <item x="52"/>
        <item x="30"/>
        <item x="218"/>
        <item x="353"/>
        <item x="394"/>
        <item x="446"/>
        <item x="309"/>
        <item x="39"/>
        <item x="245"/>
        <item x="370"/>
        <item x="447"/>
        <item x="197"/>
        <item x="313"/>
        <item x="147"/>
        <item x="133"/>
        <item x="448"/>
        <item x="26"/>
        <item x="36"/>
        <item x="194"/>
        <item x="187"/>
        <item x="434"/>
        <item x="40"/>
        <item x="116"/>
        <item x="103"/>
        <item x="347"/>
        <item x="406"/>
        <item x="177"/>
        <item x="258"/>
        <item x="69"/>
        <item x="219"/>
        <item x="367"/>
        <item x="65"/>
        <item x="335"/>
        <item x="90"/>
        <item x="304"/>
        <item x="244"/>
        <item x="239"/>
        <item x="392"/>
        <item x="345"/>
        <item x="80"/>
        <item x="384"/>
        <item x="426"/>
        <item x="132"/>
        <item x="44"/>
        <item x="265"/>
        <item x="138"/>
        <item x="176"/>
        <item x="112"/>
        <item x="50"/>
        <item x="25"/>
        <item x="361"/>
        <item x="93"/>
        <item x="443"/>
        <item x="266"/>
        <item x="228"/>
        <item x="175"/>
        <item x="89"/>
        <item x="369"/>
        <item x="220"/>
        <item x="417"/>
        <item x="128"/>
        <item x="260"/>
        <item x="16"/>
        <item x="410"/>
        <item x="143"/>
        <item x="102"/>
        <item x="383"/>
        <item x="259"/>
        <item x="173"/>
        <item x="83"/>
        <item x="59"/>
        <item x="428"/>
        <item x="240"/>
        <item x="231"/>
        <item x="386"/>
        <item x="24"/>
        <item x="142"/>
        <item x="357"/>
        <item x="29"/>
        <item x="99"/>
        <item x="289"/>
        <item x="27"/>
        <item x="227"/>
        <item x="192"/>
        <item x="122"/>
        <item x="73"/>
        <item x="106"/>
        <item x="134"/>
        <item x="272"/>
        <item x="92"/>
        <item x="101"/>
        <item x="201"/>
        <item x="310"/>
        <item x="151"/>
        <item x="51"/>
        <item x="277"/>
        <item x="108"/>
        <item x="45"/>
        <item x="330"/>
        <item x="126"/>
        <item x="268"/>
        <item x="382"/>
        <item x="274"/>
        <item x="7"/>
        <item x="342"/>
        <item x="308"/>
        <item x="179"/>
        <item x="413"/>
        <item x="305"/>
        <item x="75"/>
        <item x="124"/>
        <item x="169"/>
        <item x="171"/>
        <item x="408"/>
        <item x="2"/>
        <item x="18"/>
        <item x="403"/>
        <item x="321"/>
        <item x="348"/>
        <item x="314"/>
        <item x="148"/>
        <item x="283"/>
        <item x="409"/>
        <item x="414"/>
        <item x="154"/>
        <item x="76"/>
        <item x="17"/>
        <item x="375"/>
        <item x="416"/>
        <item x="249"/>
        <item x="281"/>
        <item x="94"/>
        <item x="238"/>
        <item x="98"/>
        <item x="152"/>
        <item x="37"/>
        <item x="306"/>
        <item x="356"/>
        <item x="146"/>
        <item x="97"/>
        <item x="393"/>
        <item x="438"/>
        <item x="430"/>
        <item x="433"/>
        <item x="302"/>
        <item x="441"/>
        <item x="198"/>
        <item x="119"/>
        <item x="38"/>
        <item x="385"/>
        <item x="359"/>
        <item x="207"/>
        <item x="358"/>
        <item x="85"/>
        <item x="60"/>
        <item x="88"/>
        <item x="439"/>
        <item x="33"/>
        <item x="368"/>
        <item x="189"/>
        <item x="388"/>
        <item x="381"/>
        <item x="196"/>
        <item x="300"/>
        <item x="170"/>
        <item x="15"/>
        <item x="293"/>
        <item x="312"/>
        <item x="127"/>
        <item x="334"/>
        <item x="341"/>
        <item x="8"/>
        <item x="31"/>
        <item x="262"/>
        <item x="204"/>
        <item x="270"/>
        <item x="226"/>
        <item x="397"/>
        <item x="395"/>
        <item x="48"/>
        <item x="399"/>
        <item x="269"/>
        <item x="225"/>
        <item x="203"/>
        <item x="449"/>
        <item x="248"/>
        <item x="233"/>
        <item x="212"/>
        <item x="401"/>
        <item x="420"/>
        <item x="282"/>
        <item x="79"/>
        <item x="178"/>
        <item x="340"/>
        <item x="205"/>
        <item x="10"/>
        <item x="96"/>
        <item x="377"/>
        <item x="184"/>
        <item x="285"/>
        <item x="58"/>
        <item x="74"/>
        <item x="431"/>
        <item x="363"/>
        <item x="275"/>
        <item x="222"/>
        <item x="349"/>
        <item x="355"/>
        <item x="350"/>
        <item x="22"/>
        <item x="165"/>
        <item x="371"/>
        <item x="390"/>
        <item x="56"/>
        <item x="435"/>
        <item x="46"/>
        <item x="405"/>
        <item x="251"/>
        <item x="427"/>
        <item x="140"/>
        <item x="149"/>
        <item x="211"/>
        <item x="372"/>
        <item x="329"/>
        <item x="114"/>
        <item x="159"/>
        <item x="442"/>
        <item x="264"/>
        <item x="364"/>
        <item x="389"/>
        <item x="235"/>
        <item x="118"/>
        <item x="168"/>
        <item x="167"/>
        <item x="325"/>
        <item x="160"/>
        <item x="237"/>
        <item x="125"/>
        <item x="273"/>
        <item x="299"/>
        <item x="223"/>
        <item x="445"/>
        <item x="0"/>
        <item x="200"/>
        <item x="271"/>
        <item x="86"/>
        <item x="23"/>
        <item x="421"/>
        <item x="337"/>
        <item x="188"/>
        <item x="346"/>
        <item x="261"/>
        <item x="91"/>
        <item x="202"/>
        <item x="70"/>
        <item x="296"/>
        <item x="113"/>
        <item x="199"/>
        <item x="423"/>
        <item x="294"/>
        <item x="407"/>
        <item x="322"/>
        <item x="34"/>
        <item x="263"/>
        <item x="61"/>
        <item x="288"/>
        <item x="352"/>
        <item x="115"/>
        <item x="210"/>
        <item x="53"/>
        <item x="338"/>
        <item x="105"/>
        <item x="191"/>
        <item x="387"/>
        <item x="174"/>
        <item x="216"/>
        <item x="67"/>
        <item x="311"/>
        <item x="117"/>
        <item x="234"/>
        <item x="298"/>
        <item x="153"/>
        <item x="318"/>
        <item x="432"/>
        <item x="319"/>
        <item x="429"/>
        <item x="378"/>
        <item x="411"/>
        <item x="213"/>
        <item x="193"/>
        <item x="332"/>
        <item x="297"/>
        <item x="156"/>
        <item x="19"/>
        <item x="440"/>
        <item t="default"/>
      </items>
    </pivotField>
    <pivotField numFmtId="14" showAll="0"/>
    <pivotField showAll="0">
      <items count="8">
        <item x="6"/>
        <item x="3"/>
        <item x="1"/>
        <item x="0"/>
        <item x="4"/>
        <item x="5"/>
        <item x="2"/>
        <item t="default"/>
      </items>
    </pivotField>
    <pivotField showAll="0"/>
    <pivotField showAll="0"/>
    <pivotField showAll="0"/>
    <pivotField showAll="0"/>
  </pivotFields>
  <rowFields count="1">
    <field x="2"/>
  </rowFields>
  <rowItems count="7">
    <i>
      <x/>
    </i>
    <i>
      <x v="1"/>
    </i>
    <i>
      <x v="2"/>
    </i>
    <i>
      <x v="3"/>
    </i>
    <i>
      <x v="4"/>
    </i>
    <i>
      <x v="5"/>
    </i>
    <i t="grand">
      <x/>
    </i>
  </rowItems>
  <colItems count="1">
    <i/>
  </colItems>
  <dataFields count="1">
    <dataField name="Sum of Quantity" fld="3" baseField="0" baseItem="0"/>
  </dataFields>
  <chartFormats count="2">
    <chartFormat chart="0" format="0" series="1">
      <pivotArea type="data" outline="0" fieldPosition="0">
        <references count="1">
          <reference field="4294967294" count="1" selected="0">
            <x v="0"/>
          </reference>
        </references>
      </pivotArea>
    </chartFormat>
    <chartFormat chart="2"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3.xml><?xml version="1.0" encoding="utf-8"?>
<pivotTableDefinition xmlns="http://schemas.openxmlformats.org/spreadsheetml/2006/main" name="PivotTable6" cacheId="0" applyNumberFormats="0" applyBorderFormats="0" applyFontFormats="0" applyPatternFormats="0" applyAlignmentFormats="0" applyWidthHeightFormats="1" dataCaption="Values" updatedVersion="4" minRefreshableVersion="3" useAutoFormatting="1" itemPrintTitles="1" createdVersion="4" indent="0" outline="1" outlineData="1" multipleFieldFilters="0" chartFormat="3">
  <location ref="AG4:AH11" firstHeaderRow="1" firstDataRow="1" firstDataCol="1"/>
  <pivotFields count="13">
    <pivotField showAll="0"/>
    <pivotField axis="axisRow" dataField="1" showAll="0">
      <items count="31">
        <item x="12"/>
        <item x="18"/>
        <item x="14"/>
        <item x="0"/>
        <item x="13"/>
        <item x="20"/>
        <item x="9"/>
        <item x="1"/>
        <item x="19"/>
        <item x="29"/>
        <item x="3"/>
        <item x="4"/>
        <item x="22"/>
        <item x="6"/>
        <item x="2"/>
        <item x="5"/>
        <item x="15"/>
        <item x="28"/>
        <item x="21"/>
        <item x="24"/>
        <item x="26"/>
        <item x="10"/>
        <item x="16"/>
        <item x="25"/>
        <item x="27"/>
        <item x="17"/>
        <item x="7"/>
        <item x="8"/>
        <item x="11"/>
        <item x="23"/>
        <item t="default"/>
      </items>
    </pivotField>
    <pivotField axis="axisRow" showAll="0">
      <items count="7">
        <item h="1" x="4"/>
        <item h="1" x="0"/>
        <item h="1" x="1"/>
        <item h="1" x="3"/>
        <item h="1" x="2"/>
        <item x="5"/>
        <item t="default"/>
      </items>
    </pivotField>
    <pivotField showAll="0"/>
    <pivotField showAll="0"/>
    <pivotField showAll="0"/>
    <pivotField showAll="0"/>
    <pivotField numFmtId="14" showAll="0"/>
    <pivotField showAll="0"/>
    <pivotField showAll="0"/>
    <pivotField showAll="0"/>
    <pivotField showAll="0"/>
    <pivotField showAll="0"/>
  </pivotFields>
  <rowFields count="2">
    <field x="2"/>
    <field x="1"/>
  </rowFields>
  <rowItems count="7">
    <i>
      <x v="5"/>
    </i>
    <i r="1">
      <x/>
    </i>
    <i r="1">
      <x v="4"/>
    </i>
    <i r="1">
      <x v="9"/>
    </i>
    <i r="1">
      <x v="18"/>
    </i>
    <i r="1">
      <x v="19"/>
    </i>
    <i t="grand">
      <x/>
    </i>
  </rowItems>
  <colItems count="1">
    <i/>
  </colItems>
  <dataFields count="1">
    <dataField name="Count of Product" fld="1" subtotal="count" baseField="0" baseItem="0"/>
  </dataFields>
  <chartFormats count="3">
    <chartFormat chart="0" format="0" series="1">
      <pivotArea type="data" outline="0" fieldPosition="0">
        <references count="1">
          <reference field="4294967294" count="1" selected="0">
            <x v="0"/>
          </reference>
        </references>
      </pivotArea>
    </chartFormat>
    <chartFormat chart="1" format="1" series="1">
      <pivotArea type="data" outline="0" fieldPosition="0">
        <references count="1">
          <reference field="4294967294" count="1" selected="0">
            <x v="0"/>
          </reference>
        </references>
      </pivotArea>
    </chartFormat>
    <chartFormat chart="2"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4.xml><?xml version="1.0" encoding="utf-8"?>
<pivotTableDefinition xmlns="http://schemas.openxmlformats.org/spreadsheetml/2006/main" name="PivotTable5" cacheId="0" applyNumberFormats="0" applyBorderFormats="0" applyFontFormats="0" applyPatternFormats="0" applyAlignmentFormats="0" applyWidthHeightFormats="1" dataCaption="Values" updatedVersion="4" minRefreshableVersion="3" useAutoFormatting="1" itemPrintTitles="1" createdVersion="4" indent="0" outline="1" outlineData="1" multipleFieldFilters="0" chartFormat="3">
  <location ref="AB3:AC8" firstHeaderRow="1" firstDataRow="1" firstDataCol="1"/>
  <pivotFields count="13">
    <pivotField showAll="0"/>
    <pivotField showAll="0"/>
    <pivotField showAll="0"/>
    <pivotField showAll="0"/>
    <pivotField showAll="0"/>
    <pivotField showAll="0"/>
    <pivotField showAll="0"/>
    <pivotField numFmtId="14" showAll="0"/>
    <pivotField showAll="0"/>
    <pivotField showAll="0">
      <items count="5">
        <item h="1" x="0"/>
        <item h="1" x="2"/>
        <item h="1" x="1"/>
        <item x="3"/>
        <item t="default"/>
      </items>
    </pivotField>
    <pivotField axis="axisRow" dataField="1" showAll="0">
      <items count="5">
        <item x="2"/>
        <item x="1"/>
        <item x="3"/>
        <item x="0"/>
        <item t="default"/>
      </items>
    </pivotField>
    <pivotField showAll="0"/>
    <pivotField showAll="0"/>
  </pivotFields>
  <rowFields count="1">
    <field x="10"/>
  </rowFields>
  <rowItems count="5">
    <i>
      <x/>
    </i>
    <i>
      <x v="1"/>
    </i>
    <i>
      <x v="2"/>
    </i>
    <i>
      <x v="3"/>
    </i>
    <i t="grand">
      <x/>
    </i>
  </rowItems>
  <colItems count="1">
    <i/>
  </colItems>
  <dataFields count="1">
    <dataField name="Count of PaymentMethod" fld="10" subtotal="count" showDataAs="percentOfTotal" baseField="10" baseItem="0" numFmtId="10"/>
  </dataFields>
  <chartFormats count="2">
    <chartFormat chart="0" format="0" series="1">
      <pivotArea type="data" outline="0" fieldPosition="0">
        <references count="1">
          <reference field="4294967294" count="1" selected="0">
            <x v="0"/>
          </reference>
        </references>
      </pivotArea>
    </chartFormat>
    <chartFormat chart="2"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5.xml><?xml version="1.0" encoding="utf-8"?>
<pivotTableDefinition xmlns="http://schemas.openxmlformats.org/spreadsheetml/2006/main" name="PivotTable4" cacheId="0" applyNumberFormats="0" applyBorderFormats="0" applyFontFormats="0" applyPatternFormats="0" applyAlignmentFormats="0" applyWidthHeightFormats="1" dataCaption="Values" updatedVersion="4" minRefreshableVersion="3" useAutoFormatting="1" itemPrintTitles="1" createdVersion="4" indent="0" outline="1" outlineData="1" multipleFieldFilters="0" chartFormat="5">
  <location ref="R3:Z11" firstHeaderRow="1" firstDataRow="2" firstDataCol="1"/>
  <pivotFields count="13">
    <pivotField showAll="0"/>
    <pivotField showAll="0"/>
    <pivotField axis="axisRow" showAll="0">
      <items count="7">
        <item x="4"/>
        <item x="0"/>
        <item x="1"/>
        <item x="3"/>
        <item x="2"/>
        <item x="5"/>
        <item t="default"/>
      </items>
    </pivotField>
    <pivotField showAll="0"/>
    <pivotField showAll="0"/>
    <pivotField showAll="0"/>
    <pivotField showAll="0"/>
    <pivotField numFmtId="14" showAll="0"/>
    <pivotField axis="axisCol" dataField="1" showAll="0">
      <items count="8">
        <item x="6"/>
        <item x="3"/>
        <item x="1"/>
        <item x="0"/>
        <item x="4"/>
        <item x="5"/>
        <item x="2"/>
        <item t="default"/>
      </items>
    </pivotField>
    <pivotField showAll="0"/>
    <pivotField showAll="0"/>
    <pivotField showAll="0"/>
    <pivotField showAll="0">
      <items count="3">
        <item x="0"/>
        <item x="1"/>
        <item t="default"/>
      </items>
    </pivotField>
  </pivotFields>
  <rowFields count="1">
    <field x="2"/>
  </rowFields>
  <rowItems count="7">
    <i>
      <x/>
    </i>
    <i>
      <x v="1"/>
    </i>
    <i>
      <x v="2"/>
    </i>
    <i>
      <x v="3"/>
    </i>
    <i>
      <x v="4"/>
    </i>
    <i>
      <x v="5"/>
    </i>
    <i t="grand">
      <x/>
    </i>
  </rowItems>
  <colFields count="1">
    <field x="8"/>
  </colFields>
  <colItems count="8">
    <i>
      <x/>
    </i>
    <i>
      <x v="1"/>
    </i>
    <i>
      <x v="2"/>
    </i>
    <i>
      <x v="3"/>
    </i>
    <i>
      <x v="4"/>
    </i>
    <i>
      <x v="5"/>
    </i>
    <i>
      <x v="6"/>
    </i>
    <i t="grand">
      <x/>
    </i>
  </colItems>
  <dataFields count="1">
    <dataField name="Count of Order Day" fld="8" subtotal="count" baseField="0" baseItem="0"/>
  </dataFields>
  <chartFormats count="14">
    <chartFormat chart="0" format="14" series="1">
      <pivotArea type="data" outline="0" fieldPosition="0">
        <references count="1">
          <reference field="2" count="1" selected="0">
            <x v="0"/>
          </reference>
        </references>
      </pivotArea>
    </chartFormat>
    <chartFormat chart="0" format="15" series="1">
      <pivotArea type="data" outline="0" fieldPosition="0">
        <references count="1">
          <reference field="2" count="1" selected="0">
            <x v="1"/>
          </reference>
        </references>
      </pivotArea>
    </chartFormat>
    <chartFormat chart="0" format="16" series="1">
      <pivotArea type="data" outline="0" fieldPosition="0">
        <references count="1">
          <reference field="2" count="1" selected="0">
            <x v="2"/>
          </reference>
        </references>
      </pivotArea>
    </chartFormat>
    <chartFormat chart="0" format="17" series="1">
      <pivotArea type="data" outline="0" fieldPosition="0">
        <references count="1">
          <reference field="2" count="1" selected="0">
            <x v="3"/>
          </reference>
        </references>
      </pivotArea>
    </chartFormat>
    <chartFormat chart="0" format="18" series="1">
      <pivotArea type="data" outline="0" fieldPosition="0">
        <references count="1">
          <reference field="2" count="1" selected="0">
            <x v="4"/>
          </reference>
        </references>
      </pivotArea>
    </chartFormat>
    <chartFormat chart="0" format="19" series="1">
      <pivotArea type="data" outline="0" fieldPosition="0">
        <references count="1">
          <reference field="2" count="1" selected="0">
            <x v="5"/>
          </reference>
        </references>
      </pivotArea>
    </chartFormat>
    <chartFormat chart="0" format="20" series="1">
      <pivotArea type="data" outline="0" fieldPosition="0">
        <references count="1">
          <reference field="4294967294" count="1" selected="0">
            <x v="0"/>
          </reference>
        </references>
      </pivotArea>
    </chartFormat>
    <chartFormat chart="4" format="28" series="1">
      <pivotArea type="data" outline="0" fieldPosition="0">
        <references count="2">
          <reference field="4294967294" count="1" selected="0">
            <x v="0"/>
          </reference>
          <reference field="8" count="1" selected="0">
            <x v="0"/>
          </reference>
        </references>
      </pivotArea>
    </chartFormat>
    <chartFormat chart="4" format="29" series="1">
      <pivotArea type="data" outline="0" fieldPosition="0">
        <references count="2">
          <reference field="4294967294" count="1" selected="0">
            <x v="0"/>
          </reference>
          <reference field="8" count="1" selected="0">
            <x v="1"/>
          </reference>
        </references>
      </pivotArea>
    </chartFormat>
    <chartFormat chart="4" format="30" series="1">
      <pivotArea type="data" outline="0" fieldPosition="0">
        <references count="2">
          <reference field="4294967294" count="1" selected="0">
            <x v="0"/>
          </reference>
          <reference field="8" count="1" selected="0">
            <x v="2"/>
          </reference>
        </references>
      </pivotArea>
    </chartFormat>
    <chartFormat chart="4" format="31" series="1">
      <pivotArea type="data" outline="0" fieldPosition="0">
        <references count="2">
          <reference field="4294967294" count="1" selected="0">
            <x v="0"/>
          </reference>
          <reference field="8" count="1" selected="0">
            <x v="3"/>
          </reference>
        </references>
      </pivotArea>
    </chartFormat>
    <chartFormat chart="4" format="32" series="1">
      <pivotArea type="data" outline="0" fieldPosition="0">
        <references count="2">
          <reference field="4294967294" count="1" selected="0">
            <x v="0"/>
          </reference>
          <reference field="8" count="1" selected="0">
            <x v="4"/>
          </reference>
        </references>
      </pivotArea>
    </chartFormat>
    <chartFormat chart="4" format="33" series="1">
      <pivotArea type="data" outline="0" fieldPosition="0">
        <references count="2">
          <reference field="4294967294" count="1" selected="0">
            <x v="0"/>
          </reference>
          <reference field="8" count="1" selected="0">
            <x v="5"/>
          </reference>
        </references>
      </pivotArea>
    </chartFormat>
    <chartFormat chart="4" format="34" series="1">
      <pivotArea type="data" outline="0" fieldPosition="0">
        <references count="2">
          <reference field="4294967294" count="1" selected="0">
            <x v="0"/>
          </reference>
          <reference field="8" count="1" selected="0">
            <x v="6"/>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mc:Ignorable="x" name="Slicer_CustomerRegion" sourceName="CustomerRegion">
  <pivotTables>
    <pivotTable tabId="4" name="PivotTable5"/>
  </pivotTables>
  <data>
    <tabular pivotCacheId="1">
      <items count="4">
        <i x="0"/>
        <i x="2"/>
        <i x="1"/>
        <i x="3"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mc:Ignorable="x" name="Slicer_Category" sourceName="Category">
  <pivotTables>
    <pivotTable tabId="4" name="PivotTable6"/>
  </pivotTables>
  <data>
    <tabular pivotCacheId="1">
      <items count="6">
        <i x="4"/>
        <i x="0"/>
        <i x="1"/>
        <i x="3"/>
        <i x="2"/>
        <i x="5"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mc:Ignorable="x">
  <slicer name="CustomerRegion" cache="Slicer_CustomerRegion" caption="CustomerRegion" rowHeight="241300"/>
  <slicer name="Category" cache="Slicer_Category" caption="Category" rowHeight="241300"/>
</slicers>
</file>

<file path=xl/slicers/slicer2.xml><?xml version="1.0" encoding="utf-8"?>
<slicers xmlns="http://schemas.microsoft.com/office/spreadsheetml/2009/9/main" xmlns:mc="http://schemas.openxmlformats.org/markup-compatibility/2006" xmlns:x="http://schemas.openxmlformats.org/spreadsheetml/2006/main" mc:Ignorable="x">
  <slicer name="CustomerRegion 1" cache="Slicer_CustomerRegion" caption="CustomerRegion" rowHeight="241300"/>
  <slicer name="Category 1" cache="Slicer_Category" caption="Category" startItem="1" rowHeight="241300"/>
</slicer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xmlns=""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8" Type="http://schemas.microsoft.com/office/2007/relationships/slicer" Target="../slicers/slicer1.xml"/><Relationship Id="rId3" Type="http://schemas.openxmlformats.org/officeDocument/2006/relationships/pivotTable" Target="../pivotTables/pivotTable3.xml"/><Relationship Id="rId7" Type="http://schemas.openxmlformats.org/officeDocument/2006/relationships/drawing" Target="../drawings/drawing2.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rinterSettings" Target="../printerSettings/printerSettings2.bin"/><Relationship Id="rId5" Type="http://schemas.openxmlformats.org/officeDocument/2006/relationships/pivotTable" Target="../pivotTables/pivotTable5.xml"/><Relationship Id="rId4" Type="http://schemas.openxmlformats.org/officeDocument/2006/relationships/pivotTable" Target="../pivotTables/pivotTable4.xml"/></Relationships>
</file>

<file path=xl/worksheets/_rels/sheet3.xml.rels><?xml version="1.0" encoding="UTF-8" standalone="yes"?>
<Relationships xmlns="http://schemas.openxmlformats.org/package/2006/relationships"><Relationship Id="rId3" Type="http://schemas.microsoft.com/office/2007/relationships/slicer" Target="../slicers/slicer2.xml"/><Relationship Id="rId2" Type="http://schemas.openxmlformats.org/officeDocument/2006/relationships/drawing" Target="../drawings/drawing3.xml"/><Relationship Id="rId1" Type="http://schemas.openxmlformats.org/officeDocument/2006/relationships/printerSettings" Target="../printerSettings/printerSettings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A501"/>
  <sheetViews>
    <sheetView zoomScale="160" zoomScaleNormal="160" workbookViewId="0">
      <selection activeCell="A18" sqref="A1:M501"/>
    </sheetView>
  </sheetViews>
  <sheetFormatPr defaultRowHeight="15" x14ac:dyDescent="0.25"/>
  <cols>
    <col min="1" max="1" width="13" customWidth="1"/>
    <col min="2" max="2" width="14" customWidth="1"/>
    <col min="3" max="3" width="16.85546875" customWidth="1"/>
    <col min="4" max="4" width="10.42578125" customWidth="1"/>
    <col min="5" max="5" width="10.85546875" customWidth="1"/>
    <col min="6" max="6" width="14.140625" customWidth="1"/>
    <col min="7" max="7" width="16.5703125" customWidth="1"/>
    <col min="8" max="8" width="13.42578125" customWidth="1"/>
    <col min="9" max="9" width="11.140625" customWidth="1"/>
    <col min="10" max="10" width="17.42578125" customWidth="1"/>
    <col min="11" max="11" width="17.5703125" customWidth="1"/>
    <col min="12" max="12" width="13.28515625" customWidth="1"/>
    <col min="18" max="19" width="10.28515625" customWidth="1"/>
    <col min="22" max="22" width="13.42578125" customWidth="1"/>
    <col min="23" max="23" width="13.140625" customWidth="1"/>
    <col min="24" max="24" width="11.5703125" customWidth="1"/>
    <col min="26" max="26" width="11.5703125" customWidth="1"/>
  </cols>
  <sheetData>
    <row r="1" spans="1:27" x14ac:dyDescent="0.25">
      <c r="A1" s="3" t="s">
        <v>0</v>
      </c>
      <c r="B1" s="4" t="s">
        <v>1</v>
      </c>
      <c r="C1" s="4" t="s">
        <v>2</v>
      </c>
      <c r="D1" s="4" t="s">
        <v>3</v>
      </c>
      <c r="E1" s="4" t="s">
        <v>4</v>
      </c>
      <c r="F1" s="4" t="s">
        <v>5</v>
      </c>
      <c r="G1" s="12" t="s">
        <v>1037</v>
      </c>
      <c r="H1" s="4" t="s">
        <v>6</v>
      </c>
      <c r="I1" s="12" t="s">
        <v>1036</v>
      </c>
      <c r="J1" s="4" t="s">
        <v>7</v>
      </c>
      <c r="K1" s="4" t="s">
        <v>8</v>
      </c>
      <c r="L1" s="4" t="s">
        <v>9</v>
      </c>
      <c r="M1" s="12" t="s">
        <v>1041</v>
      </c>
      <c r="O1" s="15" t="s">
        <v>1049</v>
      </c>
      <c r="P1" s="15" t="s">
        <v>1050</v>
      </c>
      <c r="R1" s="15" t="s">
        <v>1046</v>
      </c>
      <c r="S1" s="15" t="s">
        <v>1047</v>
      </c>
      <c r="T1" s="15" t="s">
        <v>1048</v>
      </c>
      <c r="V1" s="15" t="s">
        <v>1042</v>
      </c>
      <c r="W1" s="15" t="s">
        <v>1043</v>
      </c>
      <c r="X1" s="15" t="s">
        <v>1044</v>
      </c>
      <c r="Z1" s="15" t="s">
        <v>2</v>
      </c>
      <c r="AA1" s="15" t="s">
        <v>1054</v>
      </c>
    </row>
    <row r="2" spans="1:27" x14ac:dyDescent="0.25">
      <c r="A2" s="5" t="s">
        <v>10</v>
      </c>
      <c r="B2" s="6" t="s">
        <v>11</v>
      </c>
      <c r="C2" s="6" t="s">
        <v>12</v>
      </c>
      <c r="D2" s="6">
        <v>7</v>
      </c>
      <c r="E2" s="6">
        <v>399.29</v>
      </c>
      <c r="F2" s="6">
        <v>2795.03</v>
      </c>
      <c r="G2">
        <f t="shared" ref="G2:G65" si="0">ROUNDUP(F2,0)</f>
        <v>2796</v>
      </c>
      <c r="H2" s="7">
        <v>45197</v>
      </c>
      <c r="I2" s="16" t="str">
        <f t="shared" ref="I2:I65" si="1">TEXT(H2,"dddd")</f>
        <v>Thursday</v>
      </c>
      <c r="J2" s="6" t="s">
        <v>13</v>
      </c>
      <c r="K2" s="6" t="s">
        <v>14</v>
      </c>
      <c r="L2" s="6" t="s">
        <v>15</v>
      </c>
      <c r="M2" s="16" t="str">
        <f t="shared" ref="M2:M65" si="2">IF(G2&gt;2000,"high","low")</f>
        <v>high</v>
      </c>
      <c r="N2" s="13"/>
      <c r="O2" s="14" t="s">
        <v>1038</v>
      </c>
      <c r="P2">
        <f>AVERAGE(G12:G501)</f>
        <v>1269.5306122448981</v>
      </c>
      <c r="R2" s="16" t="s">
        <v>31</v>
      </c>
      <c r="S2">
        <f>SUMIFS($G$2:$G$501,$I$2:$I$501,$S$1,$J$2:$J$501,R3)</f>
        <v>26249</v>
      </c>
      <c r="T2">
        <f>SUMIF($J$2:$J$501,R2,G2:G501)</f>
        <v>158807</v>
      </c>
      <c r="V2" s="16" t="s">
        <v>206</v>
      </c>
      <c r="W2" t="str">
        <f>VLOOKUP(V2,A2:M501,2,FALSE)</f>
        <v>Science</v>
      </c>
      <c r="X2" t="str">
        <f>VLOOKUP(V2,A2:M501,11,FALSE)</f>
        <v>Credit Card</v>
      </c>
      <c r="Z2" s="16" t="s">
        <v>63</v>
      </c>
      <c r="AA2">
        <f>SUMIF($C$2:$C$501,Z2,$G$2:$G$501)</f>
        <v>96737</v>
      </c>
    </row>
    <row r="3" spans="1:27" x14ac:dyDescent="0.25">
      <c r="A3" s="8" t="s">
        <v>16</v>
      </c>
      <c r="B3" s="9" t="s">
        <v>17</v>
      </c>
      <c r="C3" s="9" t="s">
        <v>12</v>
      </c>
      <c r="D3" s="9">
        <v>5</v>
      </c>
      <c r="E3" s="9">
        <v>82.23</v>
      </c>
      <c r="F3" s="9">
        <v>411.15</v>
      </c>
      <c r="G3">
        <f t="shared" si="0"/>
        <v>412</v>
      </c>
      <c r="H3" s="10">
        <v>45393</v>
      </c>
      <c r="I3" s="16" t="str">
        <f t="shared" si="1"/>
        <v>Thursday</v>
      </c>
      <c r="J3" s="9" t="s">
        <v>18</v>
      </c>
      <c r="K3" s="9" t="s">
        <v>19</v>
      </c>
      <c r="L3" s="9" t="s">
        <v>20</v>
      </c>
      <c r="M3" s="16" t="str">
        <f t="shared" si="2"/>
        <v>low</v>
      </c>
      <c r="O3" s="14" t="s">
        <v>1039</v>
      </c>
      <c r="P3">
        <f>MIN(G2:G501)</f>
        <v>11</v>
      </c>
      <c r="R3" s="16" t="s">
        <v>18</v>
      </c>
      <c r="S3">
        <f>SUMIFS($G$2:$G$501,$I$2:$I$501,$S$1,$J$2:$J$501,R4)</f>
        <v>27848</v>
      </c>
      <c r="T3">
        <f>SUMIF($J$2:$J$501,R3,G3:G502)</f>
        <v>121630</v>
      </c>
      <c r="V3" s="16" t="s">
        <v>243</v>
      </c>
      <c r="W3" t="str">
        <f>VLOOKUP(V3,A3:M502,2,FALSE)</f>
        <v>Lamp</v>
      </c>
      <c r="X3" t="str">
        <f>VLOOKUP(V3,A3:M502,11,FALSE)</f>
        <v>Credit Card</v>
      </c>
      <c r="Z3" s="16" t="s">
        <v>12</v>
      </c>
      <c r="AA3">
        <f t="shared" ref="AA3:AA7" si="3">SUMIF($C$2:$C$501,Z3,$G$2:$G$501)</f>
        <v>85611</v>
      </c>
    </row>
    <row r="4" spans="1:27" x14ac:dyDescent="0.25">
      <c r="A4" s="5" t="s">
        <v>21</v>
      </c>
      <c r="B4" s="6" t="s">
        <v>22</v>
      </c>
      <c r="C4" s="6" t="s">
        <v>23</v>
      </c>
      <c r="D4" s="6">
        <v>8</v>
      </c>
      <c r="E4" s="6">
        <v>170.19</v>
      </c>
      <c r="F4" s="6">
        <v>1361.52</v>
      </c>
      <c r="G4">
        <f t="shared" si="0"/>
        <v>1362</v>
      </c>
      <c r="H4" s="7">
        <v>45798</v>
      </c>
      <c r="I4" s="16" t="str">
        <f t="shared" si="1"/>
        <v>Wednesday</v>
      </c>
      <c r="J4" s="6" t="s">
        <v>18</v>
      </c>
      <c r="K4" s="6" t="s">
        <v>14</v>
      </c>
      <c r="L4" s="6" t="s">
        <v>24</v>
      </c>
      <c r="M4" s="16" t="str">
        <f t="shared" si="2"/>
        <v>low</v>
      </c>
      <c r="O4" s="14" t="s">
        <v>1040</v>
      </c>
      <c r="P4">
        <f>MAX(G2:G501)</f>
        <v>4446</v>
      </c>
      <c r="R4" s="16" t="s">
        <v>13</v>
      </c>
      <c r="S4">
        <f>SUMIFS($G$2:$G$501,$I$2:$I$501,$S$1,$J$2:$J$501,R5)</f>
        <v>20382</v>
      </c>
      <c r="T4">
        <f>SUMIF($J$2:$J$501,R4,G4:G503)</f>
        <v>177931</v>
      </c>
      <c r="V4" s="16" t="s">
        <v>1013</v>
      </c>
      <c r="W4" t="str">
        <f>VLOOKUP(V4,A4:M503,2,FALSE)</f>
        <v>Camera</v>
      </c>
      <c r="X4" t="str">
        <f>VLOOKUP(V4,A4:M503,11,FALSE)</f>
        <v>Credit Card</v>
      </c>
      <c r="Z4" s="16" t="s">
        <v>55</v>
      </c>
      <c r="AA4">
        <f t="shared" si="3"/>
        <v>124528</v>
      </c>
    </row>
    <row r="5" spans="1:27" x14ac:dyDescent="0.25">
      <c r="A5" s="8" t="s">
        <v>25</v>
      </c>
      <c r="B5" s="9" t="s">
        <v>26</v>
      </c>
      <c r="C5" s="9" t="s">
        <v>23</v>
      </c>
      <c r="D5" s="9">
        <v>6</v>
      </c>
      <c r="E5" s="9">
        <v>32.92</v>
      </c>
      <c r="F5" s="9">
        <v>197.52</v>
      </c>
      <c r="G5">
        <f t="shared" si="0"/>
        <v>198</v>
      </c>
      <c r="H5" s="10">
        <v>45270</v>
      </c>
      <c r="I5" s="16" t="str">
        <f t="shared" si="1"/>
        <v>Sunday</v>
      </c>
      <c r="J5" s="9" t="s">
        <v>13</v>
      </c>
      <c r="K5" s="9" t="s">
        <v>27</v>
      </c>
      <c r="L5" s="9" t="s">
        <v>28</v>
      </c>
      <c r="M5" s="16" t="str">
        <f t="shared" si="2"/>
        <v>low</v>
      </c>
      <c r="R5" s="16" t="s">
        <v>48</v>
      </c>
      <c r="S5">
        <f>SUMIFS($G$2:$G$501,$I$2:$I$501,$S$1,$J$2:$J$501,T14)</f>
        <v>0</v>
      </c>
      <c r="T5">
        <f>SUMIF($J$2:$J$501,R5,G5:G504)</f>
        <v>149604</v>
      </c>
      <c r="V5" s="16" t="s">
        <v>1045</v>
      </c>
      <c r="W5" t="str">
        <f>IFERROR(VLOOKUP(V5,A5:M504,2,FALSE)," NOT FOUND")</f>
        <v xml:space="preserve"> NOT FOUND</v>
      </c>
      <c r="X5" t="str">
        <f>IFERROR(VLOOKUP(V5,A5:M504,11,FALSE),"NOT FOUND")</f>
        <v>NOT FOUND</v>
      </c>
      <c r="Z5" s="16" t="s">
        <v>23</v>
      </c>
      <c r="AA5">
        <f t="shared" si="3"/>
        <v>108597</v>
      </c>
    </row>
    <row r="6" spans="1:27" x14ac:dyDescent="0.25">
      <c r="A6" s="5" t="s">
        <v>29</v>
      </c>
      <c r="B6" s="6" t="s">
        <v>30</v>
      </c>
      <c r="C6" s="6" t="s">
        <v>12</v>
      </c>
      <c r="D6" s="6">
        <v>2</v>
      </c>
      <c r="E6" s="6">
        <v>95</v>
      </c>
      <c r="F6" s="6">
        <v>190</v>
      </c>
      <c r="G6">
        <f t="shared" si="0"/>
        <v>190</v>
      </c>
      <c r="H6" s="7">
        <v>45203</v>
      </c>
      <c r="I6" s="16" t="str">
        <f t="shared" si="1"/>
        <v>Wednesday</v>
      </c>
      <c r="J6" s="6" t="s">
        <v>31</v>
      </c>
      <c r="K6" s="6" t="s">
        <v>19</v>
      </c>
      <c r="L6" s="6" t="s">
        <v>32</v>
      </c>
      <c r="M6" s="16" t="str">
        <f t="shared" si="2"/>
        <v>low</v>
      </c>
      <c r="Z6" s="16" t="s">
        <v>59</v>
      </c>
      <c r="AA6">
        <f t="shared" si="3"/>
        <v>114528</v>
      </c>
    </row>
    <row r="7" spans="1:27" x14ac:dyDescent="0.25">
      <c r="A7" s="8" t="s">
        <v>33</v>
      </c>
      <c r="B7" s="9" t="s">
        <v>34</v>
      </c>
      <c r="C7" s="9" t="s">
        <v>23</v>
      </c>
      <c r="D7" s="9">
        <v>6</v>
      </c>
      <c r="E7" s="9">
        <v>8.5</v>
      </c>
      <c r="F7" s="9">
        <v>51</v>
      </c>
      <c r="G7">
        <f t="shared" si="0"/>
        <v>51</v>
      </c>
      <c r="H7" s="10">
        <v>45783</v>
      </c>
      <c r="I7" s="16" t="str">
        <f t="shared" si="1"/>
        <v>Tuesday</v>
      </c>
      <c r="J7" s="9" t="s">
        <v>18</v>
      </c>
      <c r="K7" s="9" t="s">
        <v>19</v>
      </c>
      <c r="L7" s="9" t="s">
        <v>35</v>
      </c>
      <c r="M7" s="16" t="str">
        <f t="shared" si="2"/>
        <v>low</v>
      </c>
      <c r="Z7" s="16" t="s">
        <v>44</v>
      </c>
      <c r="AA7">
        <f t="shared" si="3"/>
        <v>100957</v>
      </c>
    </row>
    <row r="8" spans="1:27" x14ac:dyDescent="0.25">
      <c r="A8" s="5" t="s">
        <v>36</v>
      </c>
      <c r="B8" s="6" t="s">
        <v>30</v>
      </c>
      <c r="C8" s="6" t="s">
        <v>12</v>
      </c>
      <c r="D8" s="6">
        <v>3</v>
      </c>
      <c r="E8" s="6">
        <v>194.32</v>
      </c>
      <c r="F8" s="6">
        <v>582.96</v>
      </c>
      <c r="G8">
        <f t="shared" si="0"/>
        <v>583</v>
      </c>
      <c r="H8" s="7">
        <v>45170</v>
      </c>
      <c r="I8" s="16" t="str">
        <f t="shared" si="1"/>
        <v>Friday</v>
      </c>
      <c r="J8" s="6" t="s">
        <v>31</v>
      </c>
      <c r="K8" s="6" t="s">
        <v>37</v>
      </c>
      <c r="L8" s="6" t="s">
        <v>38</v>
      </c>
      <c r="M8" s="16" t="str">
        <f t="shared" si="2"/>
        <v>low</v>
      </c>
      <c r="O8" s="18" t="s">
        <v>1051</v>
      </c>
      <c r="R8" s="17" t="s">
        <v>1052</v>
      </c>
      <c r="V8" s="17" t="s">
        <v>1053</v>
      </c>
    </row>
    <row r="9" spans="1:27" x14ac:dyDescent="0.25">
      <c r="A9" s="8" t="s">
        <v>39</v>
      </c>
      <c r="B9" s="9" t="s">
        <v>40</v>
      </c>
      <c r="C9" s="9" t="s">
        <v>12</v>
      </c>
      <c r="D9" s="9">
        <v>3</v>
      </c>
      <c r="E9" s="9">
        <v>430.67</v>
      </c>
      <c r="F9" s="9">
        <v>1292.01</v>
      </c>
      <c r="G9">
        <f t="shared" si="0"/>
        <v>1293</v>
      </c>
      <c r="H9" s="10">
        <v>45573</v>
      </c>
      <c r="I9" s="16" t="str">
        <f t="shared" si="1"/>
        <v>Tuesday</v>
      </c>
      <c r="J9" s="9" t="s">
        <v>31</v>
      </c>
      <c r="K9" s="9" t="s">
        <v>27</v>
      </c>
      <c r="L9" s="9" t="s">
        <v>41</v>
      </c>
      <c r="M9" s="16" t="str">
        <f t="shared" si="2"/>
        <v>low</v>
      </c>
      <c r="AA9" s="17"/>
    </row>
    <row r="10" spans="1:27" x14ac:dyDescent="0.25">
      <c r="A10" s="5" t="s">
        <v>42</v>
      </c>
      <c r="B10" s="6" t="s">
        <v>43</v>
      </c>
      <c r="C10" s="6" t="s">
        <v>44</v>
      </c>
      <c r="D10" s="6">
        <v>4</v>
      </c>
      <c r="E10" s="6">
        <v>471.39</v>
      </c>
      <c r="F10" s="6">
        <v>1885.56</v>
      </c>
      <c r="G10">
        <f t="shared" si="0"/>
        <v>1886</v>
      </c>
      <c r="H10" s="7">
        <v>44940</v>
      </c>
      <c r="I10" s="16" t="str">
        <f t="shared" si="1"/>
        <v>Saturday</v>
      </c>
      <c r="J10" s="6" t="s">
        <v>18</v>
      </c>
      <c r="K10" s="6" t="s">
        <v>37</v>
      </c>
      <c r="L10" s="6" t="s">
        <v>45</v>
      </c>
      <c r="M10" s="16" t="str">
        <f t="shared" si="2"/>
        <v>low</v>
      </c>
    </row>
    <row r="11" spans="1:27" x14ac:dyDescent="0.25">
      <c r="A11" s="8" t="s">
        <v>46</v>
      </c>
      <c r="B11" s="9" t="s">
        <v>47</v>
      </c>
      <c r="C11" s="9" t="s">
        <v>44</v>
      </c>
      <c r="D11" s="9">
        <v>9</v>
      </c>
      <c r="E11" s="9">
        <v>12.9</v>
      </c>
      <c r="F11" s="9">
        <v>116.1</v>
      </c>
      <c r="G11">
        <f t="shared" si="0"/>
        <v>117</v>
      </c>
      <c r="H11" s="10">
        <v>45824</v>
      </c>
      <c r="I11" s="16" t="str">
        <f t="shared" si="1"/>
        <v>Monday</v>
      </c>
      <c r="J11" s="9" t="s">
        <v>48</v>
      </c>
      <c r="K11" s="9" t="s">
        <v>37</v>
      </c>
      <c r="L11" s="9" t="s">
        <v>49</v>
      </c>
      <c r="M11" s="16" t="str">
        <f t="shared" si="2"/>
        <v>low</v>
      </c>
    </row>
    <row r="12" spans="1:27" x14ac:dyDescent="0.25">
      <c r="A12" s="5" t="s">
        <v>50</v>
      </c>
      <c r="B12" s="6" t="s">
        <v>51</v>
      </c>
      <c r="C12" s="6" t="s">
        <v>44</v>
      </c>
      <c r="D12" s="6">
        <v>7</v>
      </c>
      <c r="E12" s="6">
        <v>306.95</v>
      </c>
      <c r="F12" s="6">
        <v>2148.65</v>
      </c>
      <c r="G12">
        <f t="shared" si="0"/>
        <v>2149</v>
      </c>
      <c r="H12" s="7">
        <v>45702</v>
      </c>
      <c r="I12" s="16" t="str">
        <f t="shared" si="1"/>
        <v>Friday</v>
      </c>
      <c r="J12" s="6" t="s">
        <v>48</v>
      </c>
      <c r="K12" s="6" t="s">
        <v>14</v>
      </c>
      <c r="L12" s="6" t="s">
        <v>52</v>
      </c>
      <c r="M12" s="16" t="str">
        <f t="shared" si="2"/>
        <v>high</v>
      </c>
    </row>
    <row r="13" spans="1:27" x14ac:dyDescent="0.25">
      <c r="A13" s="8" t="s">
        <v>53</v>
      </c>
      <c r="B13" s="9" t="s">
        <v>54</v>
      </c>
      <c r="C13" s="9" t="s">
        <v>55</v>
      </c>
      <c r="D13" s="9">
        <v>1</v>
      </c>
      <c r="E13" s="9">
        <v>133.1</v>
      </c>
      <c r="F13" s="9">
        <v>133.1</v>
      </c>
      <c r="G13">
        <f t="shared" si="0"/>
        <v>134</v>
      </c>
      <c r="H13" s="10">
        <v>45798</v>
      </c>
      <c r="I13" s="16" t="str">
        <f t="shared" si="1"/>
        <v>Wednesday</v>
      </c>
      <c r="J13" s="9" t="s">
        <v>31</v>
      </c>
      <c r="K13" s="9" t="s">
        <v>14</v>
      </c>
      <c r="L13" s="9" t="s">
        <v>56</v>
      </c>
      <c r="M13" s="16" t="str">
        <f t="shared" si="2"/>
        <v>low</v>
      </c>
    </row>
    <row r="14" spans="1:27" x14ac:dyDescent="0.25">
      <c r="A14" s="5" t="s">
        <v>57</v>
      </c>
      <c r="B14" s="6" t="s">
        <v>58</v>
      </c>
      <c r="C14" s="6" t="s">
        <v>59</v>
      </c>
      <c r="D14" s="6">
        <v>2</v>
      </c>
      <c r="E14" s="6">
        <v>215.45</v>
      </c>
      <c r="F14" s="6">
        <v>430.9</v>
      </c>
      <c r="G14">
        <f t="shared" si="0"/>
        <v>431</v>
      </c>
      <c r="H14" s="7">
        <v>45492</v>
      </c>
      <c r="I14" s="16" t="str">
        <f t="shared" si="1"/>
        <v>Friday</v>
      </c>
      <c r="J14" s="6" t="s">
        <v>31</v>
      </c>
      <c r="K14" s="6" t="s">
        <v>37</v>
      </c>
      <c r="L14" s="6" t="s">
        <v>60</v>
      </c>
      <c r="M14" s="16" t="str">
        <f t="shared" si="2"/>
        <v>low</v>
      </c>
    </row>
    <row r="15" spans="1:27" x14ac:dyDescent="0.25">
      <c r="A15" s="8" t="s">
        <v>61</v>
      </c>
      <c r="B15" s="9" t="s">
        <v>62</v>
      </c>
      <c r="C15" s="9" t="s">
        <v>63</v>
      </c>
      <c r="D15" s="9">
        <v>6</v>
      </c>
      <c r="E15" s="9">
        <v>20.5</v>
      </c>
      <c r="F15" s="9">
        <v>123</v>
      </c>
      <c r="G15">
        <f t="shared" si="0"/>
        <v>123</v>
      </c>
      <c r="H15" s="10">
        <v>45328</v>
      </c>
      <c r="I15" s="16" t="str">
        <f t="shared" si="1"/>
        <v>Tuesday</v>
      </c>
      <c r="J15" s="9" t="s">
        <v>48</v>
      </c>
      <c r="K15" s="9" t="s">
        <v>19</v>
      </c>
      <c r="L15" s="9" t="s">
        <v>64</v>
      </c>
      <c r="M15" s="16" t="str">
        <f t="shared" si="2"/>
        <v>low</v>
      </c>
    </row>
    <row r="16" spans="1:27" x14ac:dyDescent="0.25">
      <c r="A16" s="5" t="s">
        <v>65</v>
      </c>
      <c r="B16" s="6" t="s">
        <v>30</v>
      </c>
      <c r="C16" s="6" t="s">
        <v>12</v>
      </c>
      <c r="D16" s="6">
        <v>2</v>
      </c>
      <c r="E16" s="6">
        <v>200.6</v>
      </c>
      <c r="F16" s="6">
        <v>401.2</v>
      </c>
      <c r="G16">
        <f t="shared" si="0"/>
        <v>402</v>
      </c>
      <c r="H16" s="7">
        <v>45922</v>
      </c>
      <c r="I16" s="16" t="str">
        <f t="shared" si="1"/>
        <v>Monday</v>
      </c>
      <c r="J16" s="6" t="s">
        <v>13</v>
      </c>
      <c r="K16" s="6" t="s">
        <v>27</v>
      </c>
      <c r="L16" s="6" t="s">
        <v>66</v>
      </c>
      <c r="M16" s="16" t="str">
        <f t="shared" si="2"/>
        <v>low</v>
      </c>
    </row>
    <row r="17" spans="1:13" x14ac:dyDescent="0.25">
      <c r="A17" s="8" t="s">
        <v>67</v>
      </c>
      <c r="B17" s="9" t="s">
        <v>68</v>
      </c>
      <c r="C17" s="9" t="s">
        <v>63</v>
      </c>
      <c r="D17" s="9">
        <v>7</v>
      </c>
      <c r="E17" s="9">
        <v>262.81</v>
      </c>
      <c r="F17" s="9">
        <v>1839.67</v>
      </c>
      <c r="G17">
        <f t="shared" si="0"/>
        <v>1840</v>
      </c>
      <c r="H17" s="10">
        <v>45628</v>
      </c>
      <c r="I17" s="16" t="str">
        <f t="shared" si="1"/>
        <v>Monday</v>
      </c>
      <c r="J17" s="9" t="s">
        <v>13</v>
      </c>
      <c r="K17" s="9" t="s">
        <v>19</v>
      </c>
      <c r="L17" s="9" t="s">
        <v>69</v>
      </c>
      <c r="M17" s="16" t="str">
        <f t="shared" si="2"/>
        <v>low</v>
      </c>
    </row>
    <row r="18" spans="1:13" x14ac:dyDescent="0.25">
      <c r="A18" s="5" t="s">
        <v>70</v>
      </c>
      <c r="B18" s="6" t="s">
        <v>43</v>
      </c>
      <c r="C18" s="6" t="s">
        <v>44</v>
      </c>
      <c r="D18" s="6">
        <v>5</v>
      </c>
      <c r="E18" s="6">
        <v>197.4</v>
      </c>
      <c r="F18" s="6">
        <v>987</v>
      </c>
      <c r="G18">
        <f t="shared" si="0"/>
        <v>987</v>
      </c>
      <c r="H18" s="7">
        <v>45264</v>
      </c>
      <c r="I18" s="16" t="str">
        <f t="shared" si="1"/>
        <v>Monday</v>
      </c>
      <c r="J18" s="6" t="s">
        <v>31</v>
      </c>
      <c r="K18" s="6" t="s">
        <v>19</v>
      </c>
      <c r="L18" s="6" t="s">
        <v>71</v>
      </c>
      <c r="M18" s="16" t="str">
        <f t="shared" si="2"/>
        <v>low</v>
      </c>
    </row>
    <row r="19" spans="1:13" x14ac:dyDescent="0.25">
      <c r="A19" s="8" t="s">
        <v>72</v>
      </c>
      <c r="B19" s="9" t="s">
        <v>73</v>
      </c>
      <c r="C19" s="9" t="s">
        <v>59</v>
      </c>
      <c r="D19" s="9">
        <v>5</v>
      </c>
      <c r="E19" s="9">
        <v>295.44</v>
      </c>
      <c r="F19" s="9">
        <v>1477.2</v>
      </c>
      <c r="G19">
        <f t="shared" si="0"/>
        <v>1478</v>
      </c>
      <c r="H19" s="10">
        <v>45143</v>
      </c>
      <c r="I19" s="16" t="str">
        <f t="shared" si="1"/>
        <v>Saturday</v>
      </c>
      <c r="J19" s="9" t="s">
        <v>13</v>
      </c>
      <c r="K19" s="9" t="s">
        <v>37</v>
      </c>
      <c r="L19" s="9" t="s">
        <v>74</v>
      </c>
      <c r="M19" s="16" t="str">
        <f t="shared" si="2"/>
        <v>low</v>
      </c>
    </row>
    <row r="20" spans="1:13" x14ac:dyDescent="0.25">
      <c r="A20" s="5" t="s">
        <v>75</v>
      </c>
      <c r="B20" s="6" t="s">
        <v>22</v>
      </c>
      <c r="C20" s="6" t="s">
        <v>23</v>
      </c>
      <c r="D20" s="6">
        <v>9</v>
      </c>
      <c r="E20" s="6">
        <v>151.66</v>
      </c>
      <c r="F20" s="6">
        <v>1364.94</v>
      </c>
      <c r="G20">
        <f t="shared" si="0"/>
        <v>1365</v>
      </c>
      <c r="H20" s="7">
        <v>45739</v>
      </c>
      <c r="I20" s="16" t="str">
        <f t="shared" si="1"/>
        <v>Sunday</v>
      </c>
      <c r="J20" s="6" t="s">
        <v>31</v>
      </c>
      <c r="K20" s="6" t="s">
        <v>14</v>
      </c>
      <c r="L20" s="6" t="s">
        <v>76</v>
      </c>
      <c r="M20" s="16" t="str">
        <f t="shared" si="2"/>
        <v>low</v>
      </c>
    </row>
    <row r="21" spans="1:13" x14ac:dyDescent="0.25">
      <c r="A21" s="8" t="s">
        <v>77</v>
      </c>
      <c r="B21" s="9" t="s">
        <v>78</v>
      </c>
      <c r="C21" s="9" t="s">
        <v>44</v>
      </c>
      <c r="D21" s="9">
        <v>9</v>
      </c>
      <c r="E21" s="9">
        <v>493.51</v>
      </c>
      <c r="F21" s="9">
        <v>4441.59</v>
      </c>
      <c r="G21">
        <f t="shared" si="0"/>
        <v>4442</v>
      </c>
      <c r="H21" s="10">
        <v>45270</v>
      </c>
      <c r="I21" s="16" t="str">
        <f t="shared" si="1"/>
        <v>Sunday</v>
      </c>
      <c r="J21" s="9" t="s">
        <v>13</v>
      </c>
      <c r="K21" s="9" t="s">
        <v>37</v>
      </c>
      <c r="L21" s="9" t="s">
        <v>79</v>
      </c>
      <c r="M21" s="16" t="str">
        <f t="shared" si="2"/>
        <v>high</v>
      </c>
    </row>
    <row r="22" spans="1:13" x14ac:dyDescent="0.25">
      <c r="A22" s="5" t="s">
        <v>80</v>
      </c>
      <c r="B22" s="6" t="s">
        <v>81</v>
      </c>
      <c r="C22" s="6" t="s">
        <v>55</v>
      </c>
      <c r="D22" s="6">
        <v>8</v>
      </c>
      <c r="E22" s="6">
        <v>7.73</v>
      </c>
      <c r="F22" s="6">
        <v>61.84</v>
      </c>
      <c r="G22">
        <f t="shared" si="0"/>
        <v>62</v>
      </c>
      <c r="H22" s="7">
        <v>45065</v>
      </c>
      <c r="I22" s="16" t="str">
        <f t="shared" si="1"/>
        <v>Friday</v>
      </c>
      <c r="J22" s="6" t="s">
        <v>13</v>
      </c>
      <c r="K22" s="6" t="s">
        <v>27</v>
      </c>
      <c r="L22" s="6" t="s">
        <v>82</v>
      </c>
      <c r="M22" s="16" t="str">
        <f t="shared" si="2"/>
        <v>low</v>
      </c>
    </row>
    <row r="23" spans="1:13" x14ac:dyDescent="0.25">
      <c r="A23" s="8" t="s">
        <v>83</v>
      </c>
      <c r="B23" s="9" t="s">
        <v>84</v>
      </c>
      <c r="C23" s="9" t="s">
        <v>23</v>
      </c>
      <c r="D23" s="9">
        <v>1</v>
      </c>
      <c r="E23" s="9">
        <v>357.11</v>
      </c>
      <c r="F23" s="9">
        <v>357.11</v>
      </c>
      <c r="G23">
        <f t="shared" si="0"/>
        <v>358</v>
      </c>
      <c r="H23" s="10">
        <v>45345</v>
      </c>
      <c r="I23" s="16" t="str">
        <f t="shared" si="1"/>
        <v>Friday</v>
      </c>
      <c r="J23" s="9" t="s">
        <v>31</v>
      </c>
      <c r="K23" s="9" t="s">
        <v>27</v>
      </c>
      <c r="L23" s="9" t="s">
        <v>85</v>
      </c>
      <c r="M23" s="16" t="str">
        <f t="shared" si="2"/>
        <v>low</v>
      </c>
    </row>
    <row r="24" spans="1:13" x14ac:dyDescent="0.25">
      <c r="A24" s="5" t="s">
        <v>86</v>
      </c>
      <c r="B24" s="6" t="s">
        <v>87</v>
      </c>
      <c r="C24" s="6" t="s">
        <v>59</v>
      </c>
      <c r="D24" s="6">
        <v>7</v>
      </c>
      <c r="E24" s="6">
        <v>327.27999999999997</v>
      </c>
      <c r="F24" s="6">
        <v>2290.96</v>
      </c>
      <c r="G24">
        <f t="shared" si="0"/>
        <v>2291</v>
      </c>
      <c r="H24" s="7">
        <v>44954</v>
      </c>
      <c r="I24" s="16" t="str">
        <f t="shared" si="1"/>
        <v>Saturday</v>
      </c>
      <c r="J24" s="6" t="s">
        <v>31</v>
      </c>
      <c r="K24" s="6" t="s">
        <v>14</v>
      </c>
      <c r="L24" s="6" t="s">
        <v>88</v>
      </c>
      <c r="M24" s="16" t="str">
        <f t="shared" si="2"/>
        <v>high</v>
      </c>
    </row>
    <row r="25" spans="1:13" x14ac:dyDescent="0.25">
      <c r="A25" s="8" t="s">
        <v>89</v>
      </c>
      <c r="B25" s="9" t="s">
        <v>47</v>
      </c>
      <c r="C25" s="9" t="s">
        <v>44</v>
      </c>
      <c r="D25" s="9">
        <v>9</v>
      </c>
      <c r="E25" s="9">
        <v>313.52999999999997</v>
      </c>
      <c r="F25" s="9">
        <v>2821.77</v>
      </c>
      <c r="G25">
        <f t="shared" si="0"/>
        <v>2822</v>
      </c>
      <c r="H25" s="10">
        <v>45856</v>
      </c>
      <c r="I25" s="16" t="str">
        <f t="shared" si="1"/>
        <v>Friday</v>
      </c>
      <c r="J25" s="9" t="s">
        <v>13</v>
      </c>
      <c r="K25" s="9" t="s">
        <v>19</v>
      </c>
      <c r="L25" s="9" t="s">
        <v>90</v>
      </c>
      <c r="M25" s="16" t="str">
        <f t="shared" si="2"/>
        <v>high</v>
      </c>
    </row>
    <row r="26" spans="1:13" x14ac:dyDescent="0.25">
      <c r="A26" s="5" t="s">
        <v>91</v>
      </c>
      <c r="B26" s="6" t="s">
        <v>81</v>
      </c>
      <c r="C26" s="6" t="s">
        <v>55</v>
      </c>
      <c r="D26" s="6">
        <v>7</v>
      </c>
      <c r="E26" s="6">
        <v>158.94</v>
      </c>
      <c r="F26" s="6">
        <v>1112.58</v>
      </c>
      <c r="G26">
        <f t="shared" si="0"/>
        <v>1113</v>
      </c>
      <c r="H26" s="7">
        <v>45654</v>
      </c>
      <c r="I26" s="16" t="str">
        <f t="shared" si="1"/>
        <v>Saturday</v>
      </c>
      <c r="J26" s="6" t="s">
        <v>13</v>
      </c>
      <c r="K26" s="6" t="s">
        <v>19</v>
      </c>
      <c r="L26" s="6" t="s">
        <v>92</v>
      </c>
      <c r="M26" s="16" t="str">
        <f t="shared" si="2"/>
        <v>low</v>
      </c>
    </row>
    <row r="27" spans="1:13" x14ac:dyDescent="0.25">
      <c r="A27" s="8" t="s">
        <v>93</v>
      </c>
      <c r="B27" s="9" t="s">
        <v>40</v>
      </c>
      <c r="C27" s="9" t="s">
        <v>12</v>
      </c>
      <c r="D27" s="9">
        <v>3</v>
      </c>
      <c r="E27" s="9">
        <v>297.69</v>
      </c>
      <c r="F27" s="9">
        <v>893.07</v>
      </c>
      <c r="G27">
        <f t="shared" si="0"/>
        <v>894</v>
      </c>
      <c r="H27" s="10">
        <v>45652</v>
      </c>
      <c r="I27" s="16" t="str">
        <f t="shared" si="1"/>
        <v>Thursday</v>
      </c>
      <c r="J27" s="9" t="s">
        <v>13</v>
      </c>
      <c r="K27" s="9" t="s">
        <v>27</v>
      </c>
      <c r="L27" s="9" t="s">
        <v>94</v>
      </c>
      <c r="M27" s="16" t="str">
        <f t="shared" si="2"/>
        <v>low</v>
      </c>
    </row>
    <row r="28" spans="1:13" x14ac:dyDescent="0.25">
      <c r="A28" s="5" t="s">
        <v>95</v>
      </c>
      <c r="B28" s="6" t="s">
        <v>96</v>
      </c>
      <c r="C28" s="6" t="s">
        <v>44</v>
      </c>
      <c r="D28" s="6">
        <v>3</v>
      </c>
      <c r="E28" s="6">
        <v>238.75</v>
      </c>
      <c r="F28" s="6">
        <v>716.25</v>
      </c>
      <c r="G28">
        <f t="shared" si="0"/>
        <v>717</v>
      </c>
      <c r="H28" s="7">
        <v>45539</v>
      </c>
      <c r="I28" s="16" t="str">
        <f t="shared" si="1"/>
        <v>Wednesday</v>
      </c>
      <c r="J28" s="6" t="s">
        <v>31</v>
      </c>
      <c r="K28" s="6" t="s">
        <v>19</v>
      </c>
      <c r="L28" s="6" t="s">
        <v>97</v>
      </c>
      <c r="M28" s="16" t="str">
        <f t="shared" si="2"/>
        <v>low</v>
      </c>
    </row>
    <row r="29" spans="1:13" x14ac:dyDescent="0.25">
      <c r="A29" s="8" t="s">
        <v>98</v>
      </c>
      <c r="B29" s="9" t="s">
        <v>99</v>
      </c>
      <c r="C29" s="9" t="s">
        <v>55</v>
      </c>
      <c r="D29" s="9">
        <v>3</v>
      </c>
      <c r="E29" s="9">
        <v>381.59</v>
      </c>
      <c r="F29" s="9">
        <v>1144.77</v>
      </c>
      <c r="G29">
        <f t="shared" si="0"/>
        <v>1145</v>
      </c>
      <c r="H29" s="10">
        <v>45144</v>
      </c>
      <c r="I29" s="16" t="str">
        <f t="shared" si="1"/>
        <v>Sunday</v>
      </c>
      <c r="J29" s="9" t="s">
        <v>48</v>
      </c>
      <c r="K29" s="9" t="s">
        <v>27</v>
      </c>
      <c r="L29" s="9" t="s">
        <v>100</v>
      </c>
      <c r="M29" s="16" t="str">
        <f t="shared" si="2"/>
        <v>low</v>
      </c>
    </row>
    <row r="30" spans="1:13" x14ac:dyDescent="0.25">
      <c r="A30" s="5" t="s">
        <v>101</v>
      </c>
      <c r="B30" s="6" t="s">
        <v>22</v>
      </c>
      <c r="C30" s="6" t="s">
        <v>23</v>
      </c>
      <c r="D30" s="6">
        <v>7</v>
      </c>
      <c r="E30" s="6">
        <v>25.01</v>
      </c>
      <c r="F30" s="6">
        <v>175.07</v>
      </c>
      <c r="G30">
        <f t="shared" si="0"/>
        <v>176</v>
      </c>
      <c r="H30" s="7">
        <v>45133</v>
      </c>
      <c r="I30" s="16" t="str">
        <f t="shared" si="1"/>
        <v>Wednesday</v>
      </c>
      <c r="J30" s="6" t="s">
        <v>48</v>
      </c>
      <c r="K30" s="6" t="s">
        <v>19</v>
      </c>
      <c r="L30" s="6" t="s">
        <v>102</v>
      </c>
      <c r="M30" s="16" t="str">
        <f t="shared" si="2"/>
        <v>low</v>
      </c>
    </row>
    <row r="31" spans="1:13" x14ac:dyDescent="0.25">
      <c r="A31" s="8" t="s">
        <v>103</v>
      </c>
      <c r="B31" s="9" t="s">
        <v>54</v>
      </c>
      <c r="C31" s="9" t="s">
        <v>55</v>
      </c>
      <c r="D31" s="9">
        <v>3</v>
      </c>
      <c r="E31" s="9">
        <v>20.56</v>
      </c>
      <c r="F31" s="9">
        <v>61.68</v>
      </c>
      <c r="G31">
        <f t="shared" si="0"/>
        <v>62</v>
      </c>
      <c r="H31" s="10">
        <v>45669</v>
      </c>
      <c r="I31" s="16" t="str">
        <f t="shared" si="1"/>
        <v>Sunday</v>
      </c>
      <c r="J31" s="9" t="s">
        <v>18</v>
      </c>
      <c r="K31" s="9" t="s">
        <v>14</v>
      </c>
      <c r="L31" s="9" t="s">
        <v>104</v>
      </c>
      <c r="M31" s="16" t="str">
        <f t="shared" si="2"/>
        <v>low</v>
      </c>
    </row>
    <row r="32" spans="1:13" x14ac:dyDescent="0.25">
      <c r="A32" s="5" t="s">
        <v>105</v>
      </c>
      <c r="B32" s="6" t="s">
        <v>58</v>
      </c>
      <c r="C32" s="6" t="s">
        <v>59</v>
      </c>
      <c r="D32" s="6">
        <v>4</v>
      </c>
      <c r="E32" s="6">
        <v>283.82</v>
      </c>
      <c r="F32" s="6">
        <v>1135.28</v>
      </c>
      <c r="G32">
        <f t="shared" si="0"/>
        <v>1136</v>
      </c>
      <c r="H32" s="7">
        <v>45826</v>
      </c>
      <c r="I32" s="16" t="str">
        <f t="shared" si="1"/>
        <v>Wednesday</v>
      </c>
      <c r="J32" s="6" t="s">
        <v>18</v>
      </c>
      <c r="K32" s="6" t="s">
        <v>19</v>
      </c>
      <c r="L32" s="6" t="s">
        <v>106</v>
      </c>
      <c r="M32" s="16" t="str">
        <f t="shared" si="2"/>
        <v>low</v>
      </c>
    </row>
    <row r="33" spans="1:13" x14ac:dyDescent="0.25">
      <c r="A33" s="8" t="s">
        <v>107</v>
      </c>
      <c r="B33" s="9" t="s">
        <v>11</v>
      </c>
      <c r="C33" s="9" t="s">
        <v>12</v>
      </c>
      <c r="D33" s="9">
        <v>5</v>
      </c>
      <c r="E33" s="9">
        <v>128.4</v>
      </c>
      <c r="F33" s="9">
        <v>642</v>
      </c>
      <c r="G33">
        <f t="shared" si="0"/>
        <v>642</v>
      </c>
      <c r="H33" s="10">
        <v>45675</v>
      </c>
      <c r="I33" s="16" t="str">
        <f t="shared" si="1"/>
        <v>Saturday</v>
      </c>
      <c r="J33" s="9" t="s">
        <v>31</v>
      </c>
      <c r="K33" s="9" t="s">
        <v>19</v>
      </c>
      <c r="L33" s="9" t="s">
        <v>108</v>
      </c>
      <c r="M33" s="16" t="str">
        <f t="shared" si="2"/>
        <v>low</v>
      </c>
    </row>
    <row r="34" spans="1:13" x14ac:dyDescent="0.25">
      <c r="A34" s="5" t="s">
        <v>109</v>
      </c>
      <c r="B34" s="6" t="s">
        <v>110</v>
      </c>
      <c r="C34" s="6" t="s">
        <v>63</v>
      </c>
      <c r="D34" s="6">
        <v>4</v>
      </c>
      <c r="E34" s="6">
        <v>471.71</v>
      </c>
      <c r="F34" s="6">
        <v>1886.84</v>
      </c>
      <c r="G34">
        <f t="shared" si="0"/>
        <v>1887</v>
      </c>
      <c r="H34" s="7">
        <v>45765</v>
      </c>
      <c r="I34" s="16" t="str">
        <f t="shared" si="1"/>
        <v>Friday</v>
      </c>
      <c r="J34" s="6" t="s">
        <v>31</v>
      </c>
      <c r="K34" s="6" t="s">
        <v>19</v>
      </c>
      <c r="L34" s="6" t="s">
        <v>111</v>
      </c>
      <c r="M34" s="16" t="str">
        <f t="shared" si="2"/>
        <v>low</v>
      </c>
    </row>
    <row r="35" spans="1:13" x14ac:dyDescent="0.25">
      <c r="A35" s="8" t="s">
        <v>112</v>
      </c>
      <c r="B35" s="9" t="s">
        <v>40</v>
      </c>
      <c r="C35" s="9" t="s">
        <v>12</v>
      </c>
      <c r="D35" s="9">
        <v>2</v>
      </c>
      <c r="E35" s="9">
        <v>314.06</v>
      </c>
      <c r="F35" s="9">
        <v>628.12</v>
      </c>
      <c r="G35">
        <f t="shared" si="0"/>
        <v>629</v>
      </c>
      <c r="H35" s="10">
        <v>45500</v>
      </c>
      <c r="I35" s="16" t="str">
        <f t="shared" si="1"/>
        <v>Saturday</v>
      </c>
      <c r="J35" s="9" t="s">
        <v>13</v>
      </c>
      <c r="K35" s="9" t="s">
        <v>27</v>
      </c>
      <c r="L35" s="9" t="s">
        <v>113</v>
      </c>
      <c r="M35" s="16" t="str">
        <f t="shared" si="2"/>
        <v>low</v>
      </c>
    </row>
    <row r="36" spans="1:13" x14ac:dyDescent="0.25">
      <c r="A36" s="5" t="s">
        <v>114</v>
      </c>
      <c r="B36" s="6" t="s">
        <v>115</v>
      </c>
      <c r="C36" s="6" t="s">
        <v>55</v>
      </c>
      <c r="D36" s="6">
        <v>4</v>
      </c>
      <c r="E36" s="6">
        <v>446.82</v>
      </c>
      <c r="F36" s="6">
        <v>1787.28</v>
      </c>
      <c r="G36">
        <f t="shared" si="0"/>
        <v>1788</v>
      </c>
      <c r="H36" s="7">
        <v>45257</v>
      </c>
      <c r="I36" s="16" t="str">
        <f t="shared" si="1"/>
        <v>Monday</v>
      </c>
      <c r="J36" s="6" t="s">
        <v>48</v>
      </c>
      <c r="K36" s="6" t="s">
        <v>19</v>
      </c>
      <c r="L36" s="6" t="s">
        <v>116</v>
      </c>
      <c r="M36" s="16" t="str">
        <f t="shared" si="2"/>
        <v>low</v>
      </c>
    </row>
    <row r="37" spans="1:13" x14ac:dyDescent="0.25">
      <c r="A37" s="8" t="s">
        <v>117</v>
      </c>
      <c r="B37" s="9" t="s">
        <v>51</v>
      </c>
      <c r="C37" s="9" t="s">
        <v>44</v>
      </c>
      <c r="D37" s="9">
        <v>7</v>
      </c>
      <c r="E37" s="9">
        <v>448.57</v>
      </c>
      <c r="F37" s="9">
        <v>3139.99</v>
      </c>
      <c r="G37">
        <f t="shared" si="0"/>
        <v>3140</v>
      </c>
      <c r="H37" s="10">
        <v>45157</v>
      </c>
      <c r="I37" s="16" t="str">
        <f t="shared" si="1"/>
        <v>Saturday</v>
      </c>
      <c r="J37" s="9" t="s">
        <v>18</v>
      </c>
      <c r="K37" s="9" t="s">
        <v>37</v>
      </c>
      <c r="L37" s="9" t="s">
        <v>118</v>
      </c>
      <c r="M37" s="16" t="str">
        <f t="shared" si="2"/>
        <v>high</v>
      </c>
    </row>
    <row r="38" spans="1:13" x14ac:dyDescent="0.25">
      <c r="A38" s="5" t="s">
        <v>119</v>
      </c>
      <c r="B38" s="6" t="s">
        <v>99</v>
      </c>
      <c r="C38" s="6" t="s">
        <v>55</v>
      </c>
      <c r="D38" s="6">
        <v>1</v>
      </c>
      <c r="E38" s="6">
        <v>117.83</v>
      </c>
      <c r="F38" s="6">
        <v>117.83</v>
      </c>
      <c r="G38">
        <f t="shared" si="0"/>
        <v>118</v>
      </c>
      <c r="H38" s="7">
        <v>45884</v>
      </c>
      <c r="I38" s="16" t="str">
        <f t="shared" si="1"/>
        <v>Friday</v>
      </c>
      <c r="J38" s="6" t="s">
        <v>48</v>
      </c>
      <c r="K38" s="6" t="s">
        <v>37</v>
      </c>
      <c r="L38" s="6" t="s">
        <v>120</v>
      </c>
      <c r="M38" s="16" t="str">
        <f t="shared" si="2"/>
        <v>low</v>
      </c>
    </row>
    <row r="39" spans="1:13" x14ac:dyDescent="0.25">
      <c r="A39" s="8" t="s">
        <v>121</v>
      </c>
      <c r="B39" s="9" t="s">
        <v>26</v>
      </c>
      <c r="C39" s="9" t="s">
        <v>23</v>
      </c>
      <c r="D39" s="9">
        <v>4</v>
      </c>
      <c r="E39" s="9">
        <v>179.52</v>
      </c>
      <c r="F39" s="9">
        <v>718.08</v>
      </c>
      <c r="G39">
        <f t="shared" si="0"/>
        <v>719</v>
      </c>
      <c r="H39" s="10">
        <v>45185</v>
      </c>
      <c r="I39" s="16" t="str">
        <f t="shared" si="1"/>
        <v>Saturday</v>
      </c>
      <c r="J39" s="9" t="s">
        <v>48</v>
      </c>
      <c r="K39" s="9" t="s">
        <v>27</v>
      </c>
      <c r="L39" s="9" t="s">
        <v>122</v>
      </c>
      <c r="M39" s="16" t="str">
        <f t="shared" si="2"/>
        <v>low</v>
      </c>
    </row>
    <row r="40" spans="1:13" x14ac:dyDescent="0.25">
      <c r="A40" s="5" t="s">
        <v>123</v>
      </c>
      <c r="B40" s="6" t="s">
        <v>26</v>
      </c>
      <c r="C40" s="6" t="s">
        <v>23</v>
      </c>
      <c r="D40" s="6">
        <v>6</v>
      </c>
      <c r="E40" s="6">
        <v>257.82</v>
      </c>
      <c r="F40" s="6">
        <v>1546.92</v>
      </c>
      <c r="G40">
        <f t="shared" si="0"/>
        <v>1547</v>
      </c>
      <c r="H40" s="7">
        <v>45575</v>
      </c>
      <c r="I40" s="16" t="str">
        <f t="shared" si="1"/>
        <v>Thursday</v>
      </c>
      <c r="J40" s="6" t="s">
        <v>31</v>
      </c>
      <c r="K40" s="6" t="s">
        <v>37</v>
      </c>
      <c r="L40" s="6" t="s">
        <v>124</v>
      </c>
      <c r="M40" s="16" t="str">
        <f t="shared" si="2"/>
        <v>low</v>
      </c>
    </row>
    <row r="41" spans="1:13" x14ac:dyDescent="0.25">
      <c r="A41" s="8" t="s">
        <v>125</v>
      </c>
      <c r="B41" s="9" t="s">
        <v>47</v>
      </c>
      <c r="C41" s="9" t="s">
        <v>44</v>
      </c>
      <c r="D41" s="9">
        <v>5</v>
      </c>
      <c r="E41" s="9">
        <v>347.76</v>
      </c>
      <c r="F41" s="9">
        <v>1738.8</v>
      </c>
      <c r="G41">
        <f t="shared" si="0"/>
        <v>1739</v>
      </c>
      <c r="H41" s="10">
        <v>45160</v>
      </c>
      <c r="I41" s="16" t="str">
        <f t="shared" si="1"/>
        <v>Tuesday</v>
      </c>
      <c r="J41" s="9" t="s">
        <v>18</v>
      </c>
      <c r="K41" s="9" t="s">
        <v>27</v>
      </c>
      <c r="L41" s="9" t="s">
        <v>126</v>
      </c>
      <c r="M41" s="16" t="str">
        <f t="shared" si="2"/>
        <v>low</v>
      </c>
    </row>
    <row r="42" spans="1:13" x14ac:dyDescent="0.25">
      <c r="A42" s="5" t="s">
        <v>127</v>
      </c>
      <c r="B42" s="6" t="s">
        <v>43</v>
      </c>
      <c r="C42" s="6" t="s">
        <v>44</v>
      </c>
      <c r="D42" s="6">
        <v>6</v>
      </c>
      <c r="E42" s="6">
        <v>113.29</v>
      </c>
      <c r="F42" s="6">
        <v>679.74</v>
      </c>
      <c r="G42">
        <f t="shared" si="0"/>
        <v>680</v>
      </c>
      <c r="H42" s="7">
        <v>45398</v>
      </c>
      <c r="I42" s="16" t="str">
        <f t="shared" si="1"/>
        <v>Tuesday</v>
      </c>
      <c r="J42" s="6" t="s">
        <v>48</v>
      </c>
      <c r="K42" s="6" t="s">
        <v>14</v>
      </c>
      <c r="L42" s="6" t="s">
        <v>128</v>
      </c>
      <c r="M42" s="16" t="str">
        <f t="shared" si="2"/>
        <v>low</v>
      </c>
    </row>
    <row r="43" spans="1:13" x14ac:dyDescent="0.25">
      <c r="A43" s="8" t="s">
        <v>129</v>
      </c>
      <c r="B43" s="9" t="s">
        <v>73</v>
      </c>
      <c r="C43" s="9" t="s">
        <v>59</v>
      </c>
      <c r="D43" s="9">
        <v>4</v>
      </c>
      <c r="E43" s="9">
        <v>185</v>
      </c>
      <c r="F43" s="9">
        <v>740</v>
      </c>
      <c r="G43">
        <f t="shared" si="0"/>
        <v>740</v>
      </c>
      <c r="H43" s="10">
        <v>45423</v>
      </c>
      <c r="I43" s="16" t="str">
        <f t="shared" si="1"/>
        <v>Saturday</v>
      </c>
      <c r="J43" s="9" t="s">
        <v>48</v>
      </c>
      <c r="K43" s="9" t="s">
        <v>14</v>
      </c>
      <c r="L43" s="9" t="s">
        <v>130</v>
      </c>
      <c r="M43" s="16" t="str">
        <f t="shared" si="2"/>
        <v>low</v>
      </c>
    </row>
    <row r="44" spans="1:13" x14ac:dyDescent="0.25">
      <c r="A44" s="5" t="s">
        <v>131</v>
      </c>
      <c r="B44" s="6" t="s">
        <v>78</v>
      </c>
      <c r="C44" s="6" t="s">
        <v>44</v>
      </c>
      <c r="D44" s="6">
        <v>4</v>
      </c>
      <c r="E44" s="6">
        <v>127.2</v>
      </c>
      <c r="F44" s="6">
        <v>508.8</v>
      </c>
      <c r="G44">
        <f t="shared" si="0"/>
        <v>509</v>
      </c>
      <c r="H44" s="7">
        <v>45733</v>
      </c>
      <c r="I44" s="16" t="str">
        <f t="shared" si="1"/>
        <v>Monday</v>
      </c>
      <c r="J44" s="6" t="s">
        <v>13</v>
      </c>
      <c r="K44" s="6" t="s">
        <v>14</v>
      </c>
      <c r="L44" s="6" t="s">
        <v>132</v>
      </c>
      <c r="M44" s="16" t="str">
        <f t="shared" si="2"/>
        <v>low</v>
      </c>
    </row>
    <row r="45" spans="1:13" x14ac:dyDescent="0.25">
      <c r="A45" s="8" t="s">
        <v>133</v>
      </c>
      <c r="B45" s="9" t="s">
        <v>62</v>
      </c>
      <c r="C45" s="9" t="s">
        <v>63</v>
      </c>
      <c r="D45" s="9">
        <v>1</v>
      </c>
      <c r="E45" s="9">
        <v>78.3</v>
      </c>
      <c r="F45" s="9">
        <v>78.3</v>
      </c>
      <c r="G45">
        <f t="shared" si="0"/>
        <v>79</v>
      </c>
      <c r="H45" s="10">
        <v>45878</v>
      </c>
      <c r="I45" s="16" t="str">
        <f t="shared" si="1"/>
        <v>Saturday</v>
      </c>
      <c r="J45" s="9" t="s">
        <v>13</v>
      </c>
      <c r="K45" s="9" t="s">
        <v>27</v>
      </c>
      <c r="L45" s="9" t="s">
        <v>134</v>
      </c>
      <c r="M45" s="16" t="str">
        <f t="shared" si="2"/>
        <v>low</v>
      </c>
    </row>
    <row r="46" spans="1:13" x14ac:dyDescent="0.25">
      <c r="A46" s="5" t="s">
        <v>135</v>
      </c>
      <c r="B46" s="6" t="s">
        <v>87</v>
      </c>
      <c r="C46" s="6" t="s">
        <v>59</v>
      </c>
      <c r="D46" s="6">
        <v>1</v>
      </c>
      <c r="E46" s="6">
        <v>488.42</v>
      </c>
      <c r="F46" s="6">
        <v>488.42</v>
      </c>
      <c r="G46">
        <f t="shared" si="0"/>
        <v>489</v>
      </c>
      <c r="H46" s="7">
        <v>45146</v>
      </c>
      <c r="I46" s="16" t="str">
        <f t="shared" si="1"/>
        <v>Tuesday</v>
      </c>
      <c r="J46" s="6" t="s">
        <v>13</v>
      </c>
      <c r="K46" s="6" t="s">
        <v>14</v>
      </c>
      <c r="L46" s="6" t="s">
        <v>136</v>
      </c>
      <c r="M46" s="16" t="str">
        <f t="shared" si="2"/>
        <v>low</v>
      </c>
    </row>
    <row r="47" spans="1:13" x14ac:dyDescent="0.25">
      <c r="A47" s="8" t="s">
        <v>137</v>
      </c>
      <c r="B47" s="9" t="s">
        <v>96</v>
      </c>
      <c r="C47" s="9" t="s">
        <v>44</v>
      </c>
      <c r="D47" s="9">
        <v>5</v>
      </c>
      <c r="E47" s="9">
        <v>175.81</v>
      </c>
      <c r="F47" s="9">
        <v>879.05</v>
      </c>
      <c r="G47">
        <f t="shared" si="0"/>
        <v>880</v>
      </c>
      <c r="H47" s="10">
        <v>45311</v>
      </c>
      <c r="I47" s="16" t="str">
        <f t="shared" si="1"/>
        <v>Saturday</v>
      </c>
      <c r="J47" s="9" t="s">
        <v>13</v>
      </c>
      <c r="K47" s="9" t="s">
        <v>19</v>
      </c>
      <c r="L47" s="9" t="s">
        <v>138</v>
      </c>
      <c r="M47" s="16" t="str">
        <f t="shared" si="2"/>
        <v>low</v>
      </c>
    </row>
    <row r="48" spans="1:13" x14ac:dyDescent="0.25">
      <c r="A48" s="5" t="s">
        <v>139</v>
      </c>
      <c r="B48" s="6" t="s">
        <v>140</v>
      </c>
      <c r="C48" s="6" t="s">
        <v>59</v>
      </c>
      <c r="D48" s="6">
        <v>5</v>
      </c>
      <c r="E48" s="6">
        <v>247.28</v>
      </c>
      <c r="F48" s="6">
        <v>1236.4000000000001</v>
      </c>
      <c r="G48">
        <f t="shared" si="0"/>
        <v>1237</v>
      </c>
      <c r="H48" s="7">
        <v>45598</v>
      </c>
      <c r="I48" s="16" t="str">
        <f t="shared" si="1"/>
        <v>Saturday</v>
      </c>
      <c r="J48" s="6" t="s">
        <v>48</v>
      </c>
      <c r="K48" s="6" t="s">
        <v>27</v>
      </c>
      <c r="L48" s="6" t="s">
        <v>141</v>
      </c>
      <c r="M48" s="16" t="str">
        <f t="shared" si="2"/>
        <v>low</v>
      </c>
    </row>
    <row r="49" spans="1:13" x14ac:dyDescent="0.25">
      <c r="A49" s="8" t="s">
        <v>142</v>
      </c>
      <c r="B49" s="9" t="s">
        <v>68</v>
      </c>
      <c r="C49" s="9" t="s">
        <v>63</v>
      </c>
      <c r="D49" s="9">
        <v>7</v>
      </c>
      <c r="E49" s="9">
        <v>337.71</v>
      </c>
      <c r="F49" s="9">
        <v>2363.9699999999998</v>
      </c>
      <c r="G49">
        <f t="shared" si="0"/>
        <v>2364</v>
      </c>
      <c r="H49" s="10">
        <v>45129</v>
      </c>
      <c r="I49" s="16" t="str">
        <f t="shared" si="1"/>
        <v>Saturday</v>
      </c>
      <c r="J49" s="9" t="s">
        <v>13</v>
      </c>
      <c r="K49" s="9" t="s">
        <v>37</v>
      </c>
      <c r="L49" s="9" t="s">
        <v>143</v>
      </c>
      <c r="M49" s="16" t="str">
        <f t="shared" si="2"/>
        <v>high</v>
      </c>
    </row>
    <row r="50" spans="1:13" x14ac:dyDescent="0.25">
      <c r="A50" s="5" t="s">
        <v>144</v>
      </c>
      <c r="B50" s="6" t="s">
        <v>40</v>
      </c>
      <c r="C50" s="6" t="s">
        <v>12</v>
      </c>
      <c r="D50" s="6">
        <v>1</v>
      </c>
      <c r="E50" s="6">
        <v>365.47</v>
      </c>
      <c r="F50" s="6">
        <v>365.47</v>
      </c>
      <c r="G50">
        <f t="shared" si="0"/>
        <v>366</v>
      </c>
      <c r="H50" s="7">
        <v>45206</v>
      </c>
      <c r="I50" s="16" t="str">
        <f t="shared" si="1"/>
        <v>Saturday</v>
      </c>
      <c r="J50" s="6" t="s">
        <v>13</v>
      </c>
      <c r="K50" s="6" t="s">
        <v>37</v>
      </c>
      <c r="L50" s="6" t="s">
        <v>145</v>
      </c>
      <c r="M50" s="16" t="str">
        <f t="shared" si="2"/>
        <v>low</v>
      </c>
    </row>
    <row r="51" spans="1:13" x14ac:dyDescent="0.25">
      <c r="A51" s="8" t="s">
        <v>146</v>
      </c>
      <c r="B51" s="9" t="s">
        <v>68</v>
      </c>
      <c r="C51" s="9" t="s">
        <v>63</v>
      </c>
      <c r="D51" s="9">
        <v>4</v>
      </c>
      <c r="E51" s="9">
        <v>491.79</v>
      </c>
      <c r="F51" s="9">
        <v>1967.16</v>
      </c>
      <c r="G51">
        <f t="shared" si="0"/>
        <v>1968</v>
      </c>
      <c r="H51" s="10">
        <v>45908</v>
      </c>
      <c r="I51" s="16" t="str">
        <f t="shared" si="1"/>
        <v>Monday</v>
      </c>
      <c r="J51" s="9" t="s">
        <v>31</v>
      </c>
      <c r="K51" s="9" t="s">
        <v>19</v>
      </c>
      <c r="L51" s="9" t="s">
        <v>147</v>
      </c>
      <c r="M51" s="16" t="str">
        <f t="shared" si="2"/>
        <v>low</v>
      </c>
    </row>
    <row r="52" spans="1:13" x14ac:dyDescent="0.25">
      <c r="A52" s="5" t="s">
        <v>148</v>
      </c>
      <c r="B52" s="6" t="s">
        <v>11</v>
      </c>
      <c r="C52" s="6" t="s">
        <v>12</v>
      </c>
      <c r="D52" s="6">
        <v>1</v>
      </c>
      <c r="E52" s="6">
        <v>79.61</v>
      </c>
      <c r="F52" s="6">
        <v>79.61</v>
      </c>
      <c r="G52">
        <f t="shared" si="0"/>
        <v>80</v>
      </c>
      <c r="H52" s="7">
        <v>45113</v>
      </c>
      <c r="I52" s="16" t="str">
        <f t="shared" si="1"/>
        <v>Thursday</v>
      </c>
      <c r="J52" s="6" t="s">
        <v>31</v>
      </c>
      <c r="K52" s="6" t="s">
        <v>19</v>
      </c>
      <c r="L52" s="6" t="s">
        <v>149</v>
      </c>
      <c r="M52" s="16" t="str">
        <f t="shared" si="2"/>
        <v>low</v>
      </c>
    </row>
    <row r="53" spans="1:13" x14ac:dyDescent="0.25">
      <c r="A53" s="8" t="s">
        <v>150</v>
      </c>
      <c r="B53" s="9" t="s">
        <v>22</v>
      </c>
      <c r="C53" s="9" t="s">
        <v>23</v>
      </c>
      <c r="D53" s="9">
        <v>3</v>
      </c>
      <c r="E53" s="9">
        <v>297.49</v>
      </c>
      <c r="F53" s="9">
        <v>892.47</v>
      </c>
      <c r="G53">
        <f t="shared" si="0"/>
        <v>893</v>
      </c>
      <c r="H53" s="10">
        <v>45881</v>
      </c>
      <c r="I53" s="16" t="str">
        <f t="shared" si="1"/>
        <v>Tuesday</v>
      </c>
      <c r="J53" s="9" t="s">
        <v>48</v>
      </c>
      <c r="K53" s="9" t="s">
        <v>19</v>
      </c>
      <c r="L53" s="9" t="s">
        <v>151</v>
      </c>
      <c r="M53" s="16" t="str">
        <f t="shared" si="2"/>
        <v>low</v>
      </c>
    </row>
    <row r="54" spans="1:13" x14ac:dyDescent="0.25">
      <c r="A54" s="5" t="s">
        <v>152</v>
      </c>
      <c r="B54" s="6" t="s">
        <v>68</v>
      </c>
      <c r="C54" s="6" t="s">
        <v>63</v>
      </c>
      <c r="D54" s="6">
        <v>3</v>
      </c>
      <c r="E54" s="6">
        <v>405.7</v>
      </c>
      <c r="F54" s="6">
        <v>1217.0999999999999</v>
      </c>
      <c r="G54">
        <f t="shared" si="0"/>
        <v>1218</v>
      </c>
      <c r="H54" s="7">
        <v>45074</v>
      </c>
      <c r="I54" s="16" t="str">
        <f t="shared" si="1"/>
        <v>Sunday</v>
      </c>
      <c r="J54" s="6" t="s">
        <v>18</v>
      </c>
      <c r="K54" s="6" t="s">
        <v>19</v>
      </c>
      <c r="L54" s="6" t="s">
        <v>153</v>
      </c>
      <c r="M54" s="16" t="str">
        <f t="shared" si="2"/>
        <v>low</v>
      </c>
    </row>
    <row r="55" spans="1:13" x14ac:dyDescent="0.25">
      <c r="A55" s="8" t="s">
        <v>154</v>
      </c>
      <c r="B55" s="9" t="s">
        <v>81</v>
      </c>
      <c r="C55" s="9" t="s">
        <v>55</v>
      </c>
      <c r="D55" s="9">
        <v>7</v>
      </c>
      <c r="E55" s="9">
        <v>91.31</v>
      </c>
      <c r="F55" s="9">
        <v>639.16999999999996</v>
      </c>
      <c r="G55">
        <f t="shared" si="0"/>
        <v>640</v>
      </c>
      <c r="H55" s="10">
        <v>45855</v>
      </c>
      <c r="I55" s="16" t="str">
        <f t="shared" si="1"/>
        <v>Thursday</v>
      </c>
      <c r="J55" s="9" t="s">
        <v>18</v>
      </c>
      <c r="K55" s="9" t="s">
        <v>27</v>
      </c>
      <c r="L55" s="9" t="s">
        <v>155</v>
      </c>
      <c r="M55" s="16" t="str">
        <f t="shared" si="2"/>
        <v>low</v>
      </c>
    </row>
    <row r="56" spans="1:13" x14ac:dyDescent="0.25">
      <c r="A56" s="5" t="s">
        <v>156</v>
      </c>
      <c r="B56" s="6" t="s">
        <v>47</v>
      </c>
      <c r="C56" s="6" t="s">
        <v>44</v>
      </c>
      <c r="D56" s="6">
        <v>7</v>
      </c>
      <c r="E56" s="6">
        <v>468.68</v>
      </c>
      <c r="F56" s="6">
        <v>3280.76</v>
      </c>
      <c r="G56">
        <f t="shared" si="0"/>
        <v>3281</v>
      </c>
      <c r="H56" s="7">
        <v>45567</v>
      </c>
      <c r="I56" s="16" t="str">
        <f t="shared" si="1"/>
        <v>Wednesday</v>
      </c>
      <c r="J56" s="6" t="s">
        <v>13</v>
      </c>
      <c r="K56" s="6" t="s">
        <v>19</v>
      </c>
      <c r="L56" s="6" t="s">
        <v>157</v>
      </c>
      <c r="M56" s="16" t="str">
        <f t="shared" si="2"/>
        <v>high</v>
      </c>
    </row>
    <row r="57" spans="1:13" x14ac:dyDescent="0.25">
      <c r="A57" s="8" t="s">
        <v>158</v>
      </c>
      <c r="B57" s="9" t="s">
        <v>159</v>
      </c>
      <c r="C57" s="9" t="s">
        <v>63</v>
      </c>
      <c r="D57" s="9">
        <v>9</v>
      </c>
      <c r="E57" s="9">
        <v>61.17</v>
      </c>
      <c r="F57" s="9">
        <v>550.53</v>
      </c>
      <c r="G57">
        <f t="shared" si="0"/>
        <v>551</v>
      </c>
      <c r="H57" s="10">
        <v>45077</v>
      </c>
      <c r="I57" s="16" t="str">
        <f t="shared" si="1"/>
        <v>Wednesday</v>
      </c>
      <c r="J57" s="9" t="s">
        <v>31</v>
      </c>
      <c r="K57" s="9" t="s">
        <v>27</v>
      </c>
      <c r="L57" s="9" t="s">
        <v>160</v>
      </c>
      <c r="M57" s="16" t="str">
        <f t="shared" si="2"/>
        <v>low</v>
      </c>
    </row>
    <row r="58" spans="1:13" x14ac:dyDescent="0.25">
      <c r="A58" s="5" t="s">
        <v>161</v>
      </c>
      <c r="B58" s="6" t="s">
        <v>22</v>
      </c>
      <c r="C58" s="6" t="s">
        <v>23</v>
      </c>
      <c r="D58" s="6">
        <v>3</v>
      </c>
      <c r="E58" s="6">
        <v>118.13</v>
      </c>
      <c r="F58" s="6">
        <v>354.39</v>
      </c>
      <c r="G58">
        <f t="shared" si="0"/>
        <v>355</v>
      </c>
      <c r="H58" s="7">
        <v>45070</v>
      </c>
      <c r="I58" s="16" t="str">
        <f t="shared" si="1"/>
        <v>Wednesday</v>
      </c>
      <c r="J58" s="6" t="s">
        <v>31</v>
      </c>
      <c r="K58" s="6" t="s">
        <v>19</v>
      </c>
      <c r="L58" s="6" t="s">
        <v>162</v>
      </c>
      <c r="M58" s="16" t="str">
        <f t="shared" si="2"/>
        <v>low</v>
      </c>
    </row>
    <row r="59" spans="1:13" x14ac:dyDescent="0.25">
      <c r="A59" s="8" t="s">
        <v>163</v>
      </c>
      <c r="B59" s="9" t="s">
        <v>164</v>
      </c>
      <c r="C59" s="9" t="s">
        <v>59</v>
      </c>
      <c r="D59" s="9">
        <v>9</v>
      </c>
      <c r="E59" s="9">
        <v>260.73</v>
      </c>
      <c r="F59" s="9">
        <v>2346.5700000000002</v>
      </c>
      <c r="G59">
        <f t="shared" si="0"/>
        <v>2347</v>
      </c>
      <c r="H59" s="10">
        <v>45807</v>
      </c>
      <c r="I59" s="16" t="str">
        <f t="shared" si="1"/>
        <v>Friday</v>
      </c>
      <c r="J59" s="9" t="s">
        <v>18</v>
      </c>
      <c r="K59" s="9" t="s">
        <v>19</v>
      </c>
      <c r="L59" s="9" t="s">
        <v>165</v>
      </c>
      <c r="M59" s="16" t="str">
        <f t="shared" si="2"/>
        <v>high</v>
      </c>
    </row>
    <row r="60" spans="1:13" x14ac:dyDescent="0.25">
      <c r="A60" s="5" t="s">
        <v>166</v>
      </c>
      <c r="B60" s="6" t="s">
        <v>99</v>
      </c>
      <c r="C60" s="6" t="s">
        <v>55</v>
      </c>
      <c r="D60" s="6">
        <v>1</v>
      </c>
      <c r="E60" s="6">
        <v>51.09</v>
      </c>
      <c r="F60" s="6">
        <v>51.09</v>
      </c>
      <c r="G60">
        <f t="shared" si="0"/>
        <v>52</v>
      </c>
      <c r="H60" s="7">
        <v>45578</v>
      </c>
      <c r="I60" s="16" t="str">
        <f t="shared" si="1"/>
        <v>Sunday</v>
      </c>
      <c r="J60" s="6" t="s">
        <v>18</v>
      </c>
      <c r="K60" s="6" t="s">
        <v>14</v>
      </c>
      <c r="L60" s="6" t="s">
        <v>167</v>
      </c>
      <c r="M60" s="16" t="str">
        <f t="shared" si="2"/>
        <v>low</v>
      </c>
    </row>
    <row r="61" spans="1:13" x14ac:dyDescent="0.25">
      <c r="A61" s="8" t="s">
        <v>168</v>
      </c>
      <c r="B61" s="9" t="s">
        <v>78</v>
      </c>
      <c r="C61" s="9" t="s">
        <v>44</v>
      </c>
      <c r="D61" s="9">
        <v>5</v>
      </c>
      <c r="E61" s="9">
        <v>441.9</v>
      </c>
      <c r="F61" s="9">
        <v>2209.5</v>
      </c>
      <c r="G61">
        <f t="shared" si="0"/>
        <v>2210</v>
      </c>
      <c r="H61" s="10">
        <v>44935</v>
      </c>
      <c r="I61" s="16" t="str">
        <f t="shared" si="1"/>
        <v>Monday</v>
      </c>
      <c r="J61" s="9" t="s">
        <v>48</v>
      </c>
      <c r="K61" s="9" t="s">
        <v>19</v>
      </c>
      <c r="L61" s="9" t="s">
        <v>169</v>
      </c>
      <c r="M61" s="16" t="str">
        <f t="shared" si="2"/>
        <v>high</v>
      </c>
    </row>
    <row r="62" spans="1:13" x14ac:dyDescent="0.25">
      <c r="A62" s="5" t="s">
        <v>170</v>
      </c>
      <c r="B62" s="6" t="s">
        <v>58</v>
      </c>
      <c r="C62" s="6" t="s">
        <v>59</v>
      </c>
      <c r="D62" s="6">
        <v>3</v>
      </c>
      <c r="E62" s="6">
        <v>351.68</v>
      </c>
      <c r="F62" s="6">
        <v>1055.04</v>
      </c>
      <c r="G62">
        <f t="shared" si="0"/>
        <v>1056</v>
      </c>
      <c r="H62" s="7">
        <v>45134</v>
      </c>
      <c r="I62" s="16" t="str">
        <f t="shared" si="1"/>
        <v>Thursday</v>
      </c>
      <c r="J62" s="6" t="s">
        <v>13</v>
      </c>
      <c r="K62" s="6" t="s">
        <v>37</v>
      </c>
      <c r="L62" s="6" t="s">
        <v>171</v>
      </c>
      <c r="M62" s="16" t="str">
        <f t="shared" si="2"/>
        <v>low</v>
      </c>
    </row>
    <row r="63" spans="1:13" x14ac:dyDescent="0.25">
      <c r="A63" s="8" t="s">
        <v>172</v>
      </c>
      <c r="B63" s="9" t="s">
        <v>87</v>
      </c>
      <c r="C63" s="9" t="s">
        <v>59</v>
      </c>
      <c r="D63" s="9">
        <v>4</v>
      </c>
      <c r="E63" s="9">
        <v>444.11</v>
      </c>
      <c r="F63" s="9">
        <v>1776.44</v>
      </c>
      <c r="G63">
        <f t="shared" si="0"/>
        <v>1777</v>
      </c>
      <c r="H63" s="10">
        <v>45046</v>
      </c>
      <c r="I63" s="16" t="str">
        <f t="shared" si="1"/>
        <v>Sunday</v>
      </c>
      <c r="J63" s="9" t="s">
        <v>31</v>
      </c>
      <c r="K63" s="9" t="s">
        <v>19</v>
      </c>
      <c r="L63" s="9" t="s">
        <v>173</v>
      </c>
      <c r="M63" s="16" t="str">
        <f t="shared" si="2"/>
        <v>low</v>
      </c>
    </row>
    <row r="64" spans="1:13" x14ac:dyDescent="0.25">
      <c r="A64" s="5" t="s">
        <v>174</v>
      </c>
      <c r="B64" s="6" t="s">
        <v>175</v>
      </c>
      <c r="C64" s="6" t="s">
        <v>12</v>
      </c>
      <c r="D64" s="6">
        <v>8</v>
      </c>
      <c r="E64" s="6">
        <v>393.74</v>
      </c>
      <c r="F64" s="6">
        <v>3149.92</v>
      </c>
      <c r="G64">
        <f t="shared" si="0"/>
        <v>3150</v>
      </c>
      <c r="H64" s="7">
        <v>45030</v>
      </c>
      <c r="I64" s="16" t="str">
        <f t="shared" si="1"/>
        <v>Friday</v>
      </c>
      <c r="J64" s="6" t="s">
        <v>31</v>
      </c>
      <c r="K64" s="6" t="s">
        <v>19</v>
      </c>
      <c r="L64" s="6" t="s">
        <v>176</v>
      </c>
      <c r="M64" s="16" t="str">
        <f t="shared" si="2"/>
        <v>high</v>
      </c>
    </row>
    <row r="65" spans="1:13" x14ac:dyDescent="0.25">
      <c r="A65" s="8" t="s">
        <v>177</v>
      </c>
      <c r="B65" s="9" t="s">
        <v>11</v>
      </c>
      <c r="C65" s="9" t="s">
        <v>12</v>
      </c>
      <c r="D65" s="9">
        <v>3</v>
      </c>
      <c r="E65" s="9">
        <v>189.28</v>
      </c>
      <c r="F65" s="9">
        <v>567.84</v>
      </c>
      <c r="G65">
        <f t="shared" si="0"/>
        <v>568</v>
      </c>
      <c r="H65" s="10">
        <v>45399</v>
      </c>
      <c r="I65" s="16" t="str">
        <f t="shared" si="1"/>
        <v>Wednesday</v>
      </c>
      <c r="J65" s="9" t="s">
        <v>18</v>
      </c>
      <c r="K65" s="9" t="s">
        <v>27</v>
      </c>
      <c r="L65" s="9" t="s">
        <v>178</v>
      </c>
      <c r="M65" s="16" t="str">
        <f t="shared" si="2"/>
        <v>low</v>
      </c>
    </row>
    <row r="66" spans="1:13" x14ac:dyDescent="0.25">
      <c r="A66" s="5" t="s">
        <v>179</v>
      </c>
      <c r="B66" s="6" t="s">
        <v>175</v>
      </c>
      <c r="C66" s="6" t="s">
        <v>12</v>
      </c>
      <c r="D66" s="6">
        <v>9</v>
      </c>
      <c r="E66" s="6">
        <v>7.51</v>
      </c>
      <c r="F66" s="6">
        <v>67.59</v>
      </c>
      <c r="G66">
        <f t="shared" ref="G66:G129" si="4">ROUNDUP(F66,0)</f>
        <v>68</v>
      </c>
      <c r="H66" s="7">
        <v>45822</v>
      </c>
      <c r="I66" s="16" t="str">
        <f t="shared" ref="I66:I129" si="5">TEXT(H66,"dddd")</f>
        <v>Saturday</v>
      </c>
      <c r="J66" s="6" t="s">
        <v>31</v>
      </c>
      <c r="K66" s="6" t="s">
        <v>27</v>
      </c>
      <c r="L66" s="6" t="s">
        <v>180</v>
      </c>
      <c r="M66" s="16" t="str">
        <f t="shared" ref="M66:M129" si="6">IF(G66&gt;2000,"high","low")</f>
        <v>low</v>
      </c>
    </row>
    <row r="67" spans="1:13" x14ac:dyDescent="0.25">
      <c r="A67" s="8" t="s">
        <v>181</v>
      </c>
      <c r="B67" s="9" t="s">
        <v>30</v>
      </c>
      <c r="C67" s="9" t="s">
        <v>12</v>
      </c>
      <c r="D67" s="9">
        <v>2</v>
      </c>
      <c r="E67" s="9">
        <v>245.38</v>
      </c>
      <c r="F67" s="9">
        <v>490.76</v>
      </c>
      <c r="G67">
        <f t="shared" si="4"/>
        <v>491</v>
      </c>
      <c r="H67" s="10">
        <v>45089</v>
      </c>
      <c r="I67" s="16" t="str">
        <f t="shared" si="5"/>
        <v>Monday</v>
      </c>
      <c r="J67" s="9" t="s">
        <v>31</v>
      </c>
      <c r="K67" s="9" t="s">
        <v>14</v>
      </c>
      <c r="L67" s="9" t="s">
        <v>182</v>
      </c>
      <c r="M67" s="16" t="str">
        <f t="shared" si="6"/>
        <v>low</v>
      </c>
    </row>
    <row r="68" spans="1:13" x14ac:dyDescent="0.25">
      <c r="A68" s="5" t="s">
        <v>183</v>
      </c>
      <c r="B68" s="6" t="s">
        <v>62</v>
      </c>
      <c r="C68" s="6" t="s">
        <v>63</v>
      </c>
      <c r="D68" s="6">
        <v>9</v>
      </c>
      <c r="E68" s="6">
        <v>92.08</v>
      </c>
      <c r="F68" s="6">
        <v>828.72</v>
      </c>
      <c r="G68">
        <f t="shared" si="4"/>
        <v>829</v>
      </c>
      <c r="H68" s="7">
        <v>45506</v>
      </c>
      <c r="I68" s="16" t="str">
        <f t="shared" si="5"/>
        <v>Friday</v>
      </c>
      <c r="J68" s="6" t="s">
        <v>13</v>
      </c>
      <c r="K68" s="6" t="s">
        <v>14</v>
      </c>
      <c r="L68" s="6" t="s">
        <v>184</v>
      </c>
      <c r="M68" s="16" t="str">
        <f t="shared" si="6"/>
        <v>low</v>
      </c>
    </row>
    <row r="69" spans="1:13" x14ac:dyDescent="0.25">
      <c r="A69" s="8" t="s">
        <v>185</v>
      </c>
      <c r="B69" s="9" t="s">
        <v>30</v>
      </c>
      <c r="C69" s="9" t="s">
        <v>12</v>
      </c>
      <c r="D69" s="9">
        <v>5</v>
      </c>
      <c r="E69" s="9">
        <v>93.52</v>
      </c>
      <c r="F69" s="9">
        <v>467.6</v>
      </c>
      <c r="G69">
        <f t="shared" si="4"/>
        <v>468</v>
      </c>
      <c r="H69" s="10">
        <v>45430</v>
      </c>
      <c r="I69" s="16" t="str">
        <f t="shared" si="5"/>
        <v>Saturday</v>
      </c>
      <c r="J69" s="9" t="s">
        <v>31</v>
      </c>
      <c r="K69" s="9" t="s">
        <v>27</v>
      </c>
      <c r="L69" s="9" t="s">
        <v>186</v>
      </c>
      <c r="M69" s="16" t="str">
        <f t="shared" si="6"/>
        <v>low</v>
      </c>
    </row>
    <row r="70" spans="1:13" x14ac:dyDescent="0.25">
      <c r="A70" s="5" t="s">
        <v>187</v>
      </c>
      <c r="B70" s="6" t="s">
        <v>22</v>
      </c>
      <c r="C70" s="6" t="s">
        <v>23</v>
      </c>
      <c r="D70" s="6">
        <v>8</v>
      </c>
      <c r="E70" s="6">
        <v>425.37</v>
      </c>
      <c r="F70" s="6">
        <v>3402.96</v>
      </c>
      <c r="G70">
        <f t="shared" si="4"/>
        <v>3403</v>
      </c>
      <c r="H70" s="7">
        <v>45327</v>
      </c>
      <c r="I70" s="16" t="str">
        <f t="shared" si="5"/>
        <v>Monday</v>
      </c>
      <c r="J70" s="6" t="s">
        <v>48</v>
      </c>
      <c r="K70" s="6" t="s">
        <v>37</v>
      </c>
      <c r="L70" s="6" t="s">
        <v>188</v>
      </c>
      <c r="M70" s="16" t="str">
        <f t="shared" si="6"/>
        <v>high</v>
      </c>
    </row>
    <row r="71" spans="1:13" x14ac:dyDescent="0.25">
      <c r="A71" s="8" t="s">
        <v>189</v>
      </c>
      <c r="B71" s="9" t="s">
        <v>190</v>
      </c>
      <c r="C71" s="9" t="s">
        <v>23</v>
      </c>
      <c r="D71" s="9">
        <v>1</v>
      </c>
      <c r="E71" s="9">
        <v>273.56</v>
      </c>
      <c r="F71" s="9">
        <v>273.56</v>
      </c>
      <c r="G71">
        <f t="shared" si="4"/>
        <v>274</v>
      </c>
      <c r="H71" s="10">
        <v>45881</v>
      </c>
      <c r="I71" s="16" t="str">
        <f t="shared" si="5"/>
        <v>Tuesday</v>
      </c>
      <c r="J71" s="9" t="s">
        <v>31</v>
      </c>
      <c r="K71" s="9" t="s">
        <v>19</v>
      </c>
      <c r="L71" s="9" t="s">
        <v>191</v>
      </c>
      <c r="M71" s="16" t="str">
        <f t="shared" si="6"/>
        <v>low</v>
      </c>
    </row>
    <row r="72" spans="1:13" x14ac:dyDescent="0.25">
      <c r="A72" s="5" t="s">
        <v>192</v>
      </c>
      <c r="B72" s="6" t="s">
        <v>73</v>
      </c>
      <c r="C72" s="6" t="s">
        <v>59</v>
      </c>
      <c r="D72" s="6">
        <v>6</v>
      </c>
      <c r="E72" s="6">
        <v>136.28</v>
      </c>
      <c r="F72" s="6">
        <v>817.68</v>
      </c>
      <c r="G72">
        <f t="shared" si="4"/>
        <v>818</v>
      </c>
      <c r="H72" s="7">
        <v>45676</v>
      </c>
      <c r="I72" s="16" t="str">
        <f t="shared" si="5"/>
        <v>Sunday</v>
      </c>
      <c r="J72" s="6" t="s">
        <v>13</v>
      </c>
      <c r="K72" s="6" t="s">
        <v>27</v>
      </c>
      <c r="L72" s="6" t="s">
        <v>193</v>
      </c>
      <c r="M72" s="16" t="str">
        <f t="shared" si="6"/>
        <v>low</v>
      </c>
    </row>
    <row r="73" spans="1:13" x14ac:dyDescent="0.25">
      <c r="A73" s="8" t="s">
        <v>194</v>
      </c>
      <c r="B73" s="9" t="s">
        <v>190</v>
      </c>
      <c r="C73" s="9" t="s">
        <v>23</v>
      </c>
      <c r="D73" s="9">
        <v>6</v>
      </c>
      <c r="E73" s="9">
        <v>489.55</v>
      </c>
      <c r="F73" s="9">
        <v>2937.3</v>
      </c>
      <c r="G73">
        <f t="shared" si="4"/>
        <v>2938</v>
      </c>
      <c r="H73" s="10">
        <v>45489</v>
      </c>
      <c r="I73" s="16" t="str">
        <f t="shared" si="5"/>
        <v>Tuesday</v>
      </c>
      <c r="J73" s="9" t="s">
        <v>18</v>
      </c>
      <c r="K73" s="9" t="s">
        <v>14</v>
      </c>
      <c r="L73" s="9" t="s">
        <v>195</v>
      </c>
      <c r="M73" s="16" t="str">
        <f t="shared" si="6"/>
        <v>high</v>
      </c>
    </row>
    <row r="74" spans="1:13" x14ac:dyDescent="0.25">
      <c r="A74" s="5" t="s">
        <v>196</v>
      </c>
      <c r="B74" s="6" t="s">
        <v>175</v>
      </c>
      <c r="C74" s="6" t="s">
        <v>12</v>
      </c>
      <c r="D74" s="6">
        <v>2</v>
      </c>
      <c r="E74" s="6">
        <v>178.29</v>
      </c>
      <c r="F74" s="6">
        <v>356.58</v>
      </c>
      <c r="G74">
        <f t="shared" si="4"/>
        <v>357</v>
      </c>
      <c r="H74" s="7">
        <v>45535</v>
      </c>
      <c r="I74" s="16" t="str">
        <f t="shared" si="5"/>
        <v>Saturday</v>
      </c>
      <c r="J74" s="6" t="s">
        <v>48</v>
      </c>
      <c r="K74" s="6" t="s">
        <v>27</v>
      </c>
      <c r="L74" s="6" t="s">
        <v>197</v>
      </c>
      <c r="M74" s="16" t="str">
        <f t="shared" si="6"/>
        <v>low</v>
      </c>
    </row>
    <row r="75" spans="1:13" x14ac:dyDescent="0.25">
      <c r="A75" s="8" t="s">
        <v>198</v>
      </c>
      <c r="B75" s="9" t="s">
        <v>110</v>
      </c>
      <c r="C75" s="9" t="s">
        <v>63</v>
      </c>
      <c r="D75" s="9">
        <v>1</v>
      </c>
      <c r="E75" s="9">
        <v>101.65</v>
      </c>
      <c r="F75" s="9">
        <v>101.65</v>
      </c>
      <c r="G75">
        <f t="shared" si="4"/>
        <v>102</v>
      </c>
      <c r="H75" s="10">
        <v>45755</v>
      </c>
      <c r="I75" s="16" t="str">
        <f t="shared" si="5"/>
        <v>Tuesday</v>
      </c>
      <c r="J75" s="9" t="s">
        <v>18</v>
      </c>
      <c r="K75" s="9" t="s">
        <v>19</v>
      </c>
      <c r="L75" s="9" t="s">
        <v>199</v>
      </c>
      <c r="M75" s="16" t="str">
        <f t="shared" si="6"/>
        <v>low</v>
      </c>
    </row>
    <row r="76" spans="1:13" x14ac:dyDescent="0.25">
      <c r="A76" s="5" t="s">
        <v>200</v>
      </c>
      <c r="B76" s="6" t="s">
        <v>81</v>
      </c>
      <c r="C76" s="6" t="s">
        <v>55</v>
      </c>
      <c r="D76" s="6">
        <v>3</v>
      </c>
      <c r="E76" s="6">
        <v>385.43</v>
      </c>
      <c r="F76" s="6">
        <v>1156.29</v>
      </c>
      <c r="G76">
        <f t="shared" si="4"/>
        <v>1157</v>
      </c>
      <c r="H76" s="7">
        <v>45438</v>
      </c>
      <c r="I76" s="16" t="str">
        <f t="shared" si="5"/>
        <v>Sunday</v>
      </c>
      <c r="J76" s="6" t="s">
        <v>13</v>
      </c>
      <c r="K76" s="6" t="s">
        <v>19</v>
      </c>
      <c r="L76" s="6" t="s">
        <v>201</v>
      </c>
      <c r="M76" s="16" t="str">
        <f t="shared" si="6"/>
        <v>low</v>
      </c>
    </row>
    <row r="77" spans="1:13" x14ac:dyDescent="0.25">
      <c r="A77" s="8" t="s">
        <v>202</v>
      </c>
      <c r="B77" s="9" t="s">
        <v>110</v>
      </c>
      <c r="C77" s="9" t="s">
        <v>63</v>
      </c>
      <c r="D77" s="9">
        <v>5</v>
      </c>
      <c r="E77" s="9">
        <v>442.33</v>
      </c>
      <c r="F77" s="9">
        <v>2211.65</v>
      </c>
      <c r="G77">
        <f t="shared" si="4"/>
        <v>2212</v>
      </c>
      <c r="H77" s="10">
        <v>45818</v>
      </c>
      <c r="I77" s="16" t="str">
        <f t="shared" si="5"/>
        <v>Tuesday</v>
      </c>
      <c r="J77" s="9" t="s">
        <v>13</v>
      </c>
      <c r="K77" s="9" t="s">
        <v>27</v>
      </c>
      <c r="L77" s="9" t="s">
        <v>203</v>
      </c>
      <c r="M77" s="16" t="str">
        <f t="shared" si="6"/>
        <v>high</v>
      </c>
    </row>
    <row r="78" spans="1:13" x14ac:dyDescent="0.25">
      <c r="A78" s="5" t="s">
        <v>204</v>
      </c>
      <c r="B78" s="6" t="s">
        <v>81</v>
      </c>
      <c r="C78" s="6" t="s">
        <v>55</v>
      </c>
      <c r="D78" s="6">
        <v>8</v>
      </c>
      <c r="E78" s="6">
        <v>168.72</v>
      </c>
      <c r="F78" s="6">
        <v>1349.76</v>
      </c>
      <c r="G78">
        <f t="shared" si="4"/>
        <v>1350</v>
      </c>
      <c r="H78" s="7">
        <v>45228</v>
      </c>
      <c r="I78" s="16" t="str">
        <f t="shared" si="5"/>
        <v>Sunday</v>
      </c>
      <c r="J78" s="6" t="s">
        <v>48</v>
      </c>
      <c r="K78" s="6" t="s">
        <v>19</v>
      </c>
      <c r="L78" s="6" t="s">
        <v>205</v>
      </c>
      <c r="M78" s="16" t="str">
        <f t="shared" si="6"/>
        <v>low</v>
      </c>
    </row>
    <row r="79" spans="1:13" x14ac:dyDescent="0.25">
      <c r="A79" s="8" t="s">
        <v>206</v>
      </c>
      <c r="B79" s="9" t="s">
        <v>175</v>
      </c>
      <c r="C79" s="9" t="s">
        <v>12</v>
      </c>
      <c r="D79" s="9">
        <v>3</v>
      </c>
      <c r="E79" s="9">
        <v>490.26</v>
      </c>
      <c r="F79" s="9">
        <v>1470.78</v>
      </c>
      <c r="G79">
        <f t="shared" si="4"/>
        <v>1471</v>
      </c>
      <c r="H79" s="10">
        <v>45042</v>
      </c>
      <c r="I79" s="16" t="str">
        <f t="shared" si="5"/>
        <v>Wednesday</v>
      </c>
      <c r="J79" s="9" t="s">
        <v>48</v>
      </c>
      <c r="K79" s="9" t="s">
        <v>19</v>
      </c>
      <c r="L79" s="9" t="s">
        <v>207</v>
      </c>
      <c r="M79" s="16" t="str">
        <f t="shared" si="6"/>
        <v>low</v>
      </c>
    </row>
    <row r="80" spans="1:13" x14ac:dyDescent="0.25">
      <c r="A80" s="5" t="s">
        <v>208</v>
      </c>
      <c r="B80" s="6" t="s">
        <v>81</v>
      </c>
      <c r="C80" s="6" t="s">
        <v>55</v>
      </c>
      <c r="D80" s="6">
        <v>5</v>
      </c>
      <c r="E80" s="6">
        <v>99.5</v>
      </c>
      <c r="F80" s="6">
        <v>497.5</v>
      </c>
      <c r="G80">
        <f t="shared" si="4"/>
        <v>498</v>
      </c>
      <c r="H80" s="7">
        <v>45087</v>
      </c>
      <c r="I80" s="16" t="str">
        <f t="shared" si="5"/>
        <v>Saturday</v>
      </c>
      <c r="J80" s="6" t="s">
        <v>48</v>
      </c>
      <c r="K80" s="6" t="s">
        <v>14</v>
      </c>
      <c r="L80" s="6" t="s">
        <v>209</v>
      </c>
      <c r="M80" s="16" t="str">
        <f t="shared" si="6"/>
        <v>low</v>
      </c>
    </row>
    <row r="81" spans="1:13" x14ac:dyDescent="0.25">
      <c r="A81" s="8" t="s">
        <v>210</v>
      </c>
      <c r="B81" s="9" t="s">
        <v>115</v>
      </c>
      <c r="C81" s="9" t="s">
        <v>55</v>
      </c>
      <c r="D81" s="9">
        <v>3</v>
      </c>
      <c r="E81" s="9">
        <v>88.9</v>
      </c>
      <c r="F81" s="9">
        <v>266.7</v>
      </c>
      <c r="G81">
        <f t="shared" si="4"/>
        <v>267</v>
      </c>
      <c r="H81" s="10">
        <v>45719</v>
      </c>
      <c r="I81" s="16" t="str">
        <f t="shared" si="5"/>
        <v>Monday</v>
      </c>
      <c r="J81" s="9" t="s">
        <v>18</v>
      </c>
      <c r="K81" s="9" t="s">
        <v>27</v>
      </c>
      <c r="L81" s="9" t="s">
        <v>211</v>
      </c>
      <c r="M81" s="16" t="str">
        <f t="shared" si="6"/>
        <v>low</v>
      </c>
    </row>
    <row r="82" spans="1:13" x14ac:dyDescent="0.25">
      <c r="A82" s="5" t="s">
        <v>212</v>
      </c>
      <c r="B82" s="6" t="s">
        <v>11</v>
      </c>
      <c r="C82" s="6" t="s">
        <v>12</v>
      </c>
      <c r="D82" s="6">
        <v>6</v>
      </c>
      <c r="E82" s="6">
        <v>349.53</v>
      </c>
      <c r="F82" s="6">
        <v>2097.1799999999998</v>
      </c>
      <c r="G82">
        <f t="shared" si="4"/>
        <v>2098</v>
      </c>
      <c r="H82" s="7">
        <v>45798</v>
      </c>
      <c r="I82" s="16" t="str">
        <f t="shared" si="5"/>
        <v>Wednesday</v>
      </c>
      <c r="J82" s="6" t="s">
        <v>18</v>
      </c>
      <c r="K82" s="6" t="s">
        <v>27</v>
      </c>
      <c r="L82" s="6" t="s">
        <v>213</v>
      </c>
      <c r="M82" s="16" t="str">
        <f t="shared" si="6"/>
        <v>high</v>
      </c>
    </row>
    <row r="83" spans="1:13" x14ac:dyDescent="0.25">
      <c r="A83" s="8" t="s">
        <v>214</v>
      </c>
      <c r="B83" s="9" t="s">
        <v>51</v>
      </c>
      <c r="C83" s="9" t="s">
        <v>44</v>
      </c>
      <c r="D83" s="9">
        <v>8</v>
      </c>
      <c r="E83" s="9">
        <v>108.41</v>
      </c>
      <c r="F83" s="9">
        <v>867.28</v>
      </c>
      <c r="G83">
        <f t="shared" si="4"/>
        <v>868</v>
      </c>
      <c r="H83" s="10">
        <v>45869</v>
      </c>
      <c r="I83" s="16" t="str">
        <f t="shared" si="5"/>
        <v>Thursday</v>
      </c>
      <c r="J83" s="9" t="s">
        <v>48</v>
      </c>
      <c r="K83" s="9" t="s">
        <v>19</v>
      </c>
      <c r="L83" s="9" t="s">
        <v>215</v>
      </c>
      <c r="M83" s="16" t="str">
        <f t="shared" si="6"/>
        <v>low</v>
      </c>
    </row>
    <row r="84" spans="1:13" x14ac:dyDescent="0.25">
      <c r="A84" s="5" t="s">
        <v>216</v>
      </c>
      <c r="B84" s="6" t="s">
        <v>51</v>
      </c>
      <c r="C84" s="6" t="s">
        <v>44</v>
      </c>
      <c r="D84" s="6">
        <v>2</v>
      </c>
      <c r="E84" s="6">
        <v>130.81</v>
      </c>
      <c r="F84" s="6">
        <v>261.62</v>
      </c>
      <c r="G84">
        <f t="shared" si="4"/>
        <v>262</v>
      </c>
      <c r="H84" s="7">
        <v>45416</v>
      </c>
      <c r="I84" s="16" t="str">
        <f t="shared" si="5"/>
        <v>Saturday</v>
      </c>
      <c r="J84" s="6" t="s">
        <v>48</v>
      </c>
      <c r="K84" s="6" t="s">
        <v>27</v>
      </c>
      <c r="L84" s="6" t="s">
        <v>217</v>
      </c>
      <c r="M84" s="16" t="str">
        <f t="shared" si="6"/>
        <v>low</v>
      </c>
    </row>
    <row r="85" spans="1:13" x14ac:dyDescent="0.25">
      <c r="A85" s="8" t="s">
        <v>218</v>
      </c>
      <c r="B85" s="9" t="s">
        <v>30</v>
      </c>
      <c r="C85" s="9" t="s">
        <v>12</v>
      </c>
      <c r="D85" s="9">
        <v>1</v>
      </c>
      <c r="E85" s="9">
        <v>425.09</v>
      </c>
      <c r="F85" s="9">
        <v>425.09</v>
      </c>
      <c r="G85">
        <f t="shared" si="4"/>
        <v>426</v>
      </c>
      <c r="H85" s="10">
        <v>45319</v>
      </c>
      <c r="I85" s="16" t="str">
        <f t="shared" si="5"/>
        <v>Sunday</v>
      </c>
      <c r="J85" s="9" t="s">
        <v>18</v>
      </c>
      <c r="K85" s="9" t="s">
        <v>27</v>
      </c>
      <c r="L85" s="9" t="s">
        <v>219</v>
      </c>
      <c r="M85" s="16" t="str">
        <f t="shared" si="6"/>
        <v>low</v>
      </c>
    </row>
    <row r="86" spans="1:13" x14ac:dyDescent="0.25">
      <c r="A86" s="5" t="s">
        <v>220</v>
      </c>
      <c r="B86" s="6" t="s">
        <v>54</v>
      </c>
      <c r="C86" s="6" t="s">
        <v>55</v>
      </c>
      <c r="D86" s="6">
        <v>7</v>
      </c>
      <c r="E86" s="6">
        <v>150.33000000000001</v>
      </c>
      <c r="F86" s="6">
        <v>1052.31</v>
      </c>
      <c r="G86">
        <f t="shared" si="4"/>
        <v>1053</v>
      </c>
      <c r="H86" s="7">
        <v>45685</v>
      </c>
      <c r="I86" s="16" t="str">
        <f t="shared" si="5"/>
        <v>Tuesday</v>
      </c>
      <c r="J86" s="6" t="s">
        <v>48</v>
      </c>
      <c r="K86" s="6" t="s">
        <v>27</v>
      </c>
      <c r="L86" s="6" t="s">
        <v>221</v>
      </c>
      <c r="M86" s="16" t="str">
        <f t="shared" si="6"/>
        <v>low</v>
      </c>
    </row>
    <row r="87" spans="1:13" x14ac:dyDescent="0.25">
      <c r="A87" s="8" t="s">
        <v>222</v>
      </c>
      <c r="B87" s="9" t="s">
        <v>78</v>
      </c>
      <c r="C87" s="9" t="s">
        <v>44</v>
      </c>
      <c r="D87" s="9">
        <v>3</v>
      </c>
      <c r="E87" s="9">
        <v>131.82</v>
      </c>
      <c r="F87" s="9">
        <v>395.46</v>
      </c>
      <c r="G87">
        <f t="shared" si="4"/>
        <v>396</v>
      </c>
      <c r="H87" s="10">
        <v>45334</v>
      </c>
      <c r="I87" s="16" t="str">
        <f t="shared" si="5"/>
        <v>Monday</v>
      </c>
      <c r="J87" s="9" t="s">
        <v>31</v>
      </c>
      <c r="K87" s="9" t="s">
        <v>37</v>
      </c>
      <c r="L87" s="9" t="s">
        <v>223</v>
      </c>
      <c r="M87" s="16" t="str">
        <f t="shared" si="6"/>
        <v>low</v>
      </c>
    </row>
    <row r="88" spans="1:13" x14ac:dyDescent="0.25">
      <c r="A88" s="5" t="s">
        <v>224</v>
      </c>
      <c r="B88" s="6" t="s">
        <v>110</v>
      </c>
      <c r="C88" s="6" t="s">
        <v>63</v>
      </c>
      <c r="D88" s="6">
        <v>7</v>
      </c>
      <c r="E88" s="6">
        <v>253.25</v>
      </c>
      <c r="F88" s="6">
        <v>1772.75</v>
      </c>
      <c r="G88">
        <f t="shared" si="4"/>
        <v>1773</v>
      </c>
      <c r="H88" s="7">
        <v>45611</v>
      </c>
      <c r="I88" s="16" t="str">
        <f t="shared" si="5"/>
        <v>Friday</v>
      </c>
      <c r="J88" s="6" t="s">
        <v>48</v>
      </c>
      <c r="K88" s="6" t="s">
        <v>37</v>
      </c>
      <c r="L88" s="6" t="s">
        <v>225</v>
      </c>
      <c r="M88" s="16" t="str">
        <f t="shared" si="6"/>
        <v>low</v>
      </c>
    </row>
    <row r="89" spans="1:13" x14ac:dyDescent="0.25">
      <c r="A89" s="8" t="s">
        <v>226</v>
      </c>
      <c r="B89" s="9" t="s">
        <v>26</v>
      </c>
      <c r="C89" s="9" t="s">
        <v>23</v>
      </c>
      <c r="D89" s="9">
        <v>8</v>
      </c>
      <c r="E89" s="9">
        <v>352.47</v>
      </c>
      <c r="F89" s="9">
        <v>2819.76</v>
      </c>
      <c r="G89">
        <f t="shared" si="4"/>
        <v>2820</v>
      </c>
      <c r="H89" s="10">
        <v>45326</v>
      </c>
      <c r="I89" s="16" t="str">
        <f t="shared" si="5"/>
        <v>Sunday</v>
      </c>
      <c r="J89" s="9" t="s">
        <v>18</v>
      </c>
      <c r="K89" s="9" t="s">
        <v>19</v>
      </c>
      <c r="L89" s="9" t="s">
        <v>227</v>
      </c>
      <c r="M89" s="16" t="str">
        <f t="shared" si="6"/>
        <v>high</v>
      </c>
    </row>
    <row r="90" spans="1:13" x14ac:dyDescent="0.25">
      <c r="A90" s="5" t="s">
        <v>228</v>
      </c>
      <c r="B90" s="6" t="s">
        <v>87</v>
      </c>
      <c r="C90" s="6" t="s">
        <v>59</v>
      </c>
      <c r="D90" s="6">
        <v>7</v>
      </c>
      <c r="E90" s="6">
        <v>18.670000000000002</v>
      </c>
      <c r="F90" s="6">
        <v>130.69</v>
      </c>
      <c r="G90">
        <f t="shared" si="4"/>
        <v>131</v>
      </c>
      <c r="H90" s="7">
        <v>45280</v>
      </c>
      <c r="I90" s="16" t="str">
        <f t="shared" si="5"/>
        <v>Wednesday</v>
      </c>
      <c r="J90" s="6" t="s">
        <v>48</v>
      </c>
      <c r="K90" s="6" t="s">
        <v>14</v>
      </c>
      <c r="L90" s="6" t="s">
        <v>229</v>
      </c>
      <c r="M90" s="16" t="str">
        <f t="shared" si="6"/>
        <v>low</v>
      </c>
    </row>
    <row r="91" spans="1:13" x14ac:dyDescent="0.25">
      <c r="A91" s="8" t="s">
        <v>230</v>
      </c>
      <c r="B91" s="9" t="s">
        <v>231</v>
      </c>
      <c r="C91" s="9" t="s">
        <v>55</v>
      </c>
      <c r="D91" s="9">
        <v>7</v>
      </c>
      <c r="E91" s="9">
        <v>337.65</v>
      </c>
      <c r="F91" s="9">
        <v>2363.5500000000002</v>
      </c>
      <c r="G91">
        <f t="shared" si="4"/>
        <v>2364</v>
      </c>
      <c r="H91" s="10">
        <v>44977</v>
      </c>
      <c r="I91" s="16" t="str">
        <f t="shared" si="5"/>
        <v>Monday</v>
      </c>
      <c r="J91" s="9" t="s">
        <v>48</v>
      </c>
      <c r="K91" s="9" t="s">
        <v>37</v>
      </c>
      <c r="L91" s="9" t="s">
        <v>232</v>
      </c>
      <c r="M91" s="16" t="str">
        <f t="shared" si="6"/>
        <v>high</v>
      </c>
    </row>
    <row r="92" spans="1:13" x14ac:dyDescent="0.25">
      <c r="A92" s="5" t="s">
        <v>233</v>
      </c>
      <c r="B92" s="6" t="s">
        <v>175</v>
      </c>
      <c r="C92" s="6" t="s">
        <v>12</v>
      </c>
      <c r="D92" s="6">
        <v>6</v>
      </c>
      <c r="E92" s="6">
        <v>297.45999999999998</v>
      </c>
      <c r="F92" s="6">
        <v>1784.76</v>
      </c>
      <c r="G92">
        <f t="shared" si="4"/>
        <v>1785</v>
      </c>
      <c r="H92" s="7">
        <v>45268</v>
      </c>
      <c r="I92" s="16" t="str">
        <f t="shared" si="5"/>
        <v>Friday</v>
      </c>
      <c r="J92" s="6" t="s">
        <v>48</v>
      </c>
      <c r="K92" s="6" t="s">
        <v>14</v>
      </c>
      <c r="L92" s="6" t="s">
        <v>234</v>
      </c>
      <c r="M92" s="16" t="str">
        <f t="shared" si="6"/>
        <v>low</v>
      </c>
    </row>
    <row r="93" spans="1:13" x14ac:dyDescent="0.25">
      <c r="A93" s="8" t="s">
        <v>235</v>
      </c>
      <c r="B93" s="9" t="s">
        <v>99</v>
      </c>
      <c r="C93" s="9" t="s">
        <v>55</v>
      </c>
      <c r="D93" s="9">
        <v>6</v>
      </c>
      <c r="E93" s="9">
        <v>155.12</v>
      </c>
      <c r="F93" s="9">
        <v>930.72</v>
      </c>
      <c r="G93">
        <f t="shared" si="4"/>
        <v>931</v>
      </c>
      <c r="H93" s="10">
        <v>45370</v>
      </c>
      <c r="I93" s="16" t="str">
        <f t="shared" si="5"/>
        <v>Tuesday</v>
      </c>
      <c r="J93" s="9" t="s">
        <v>31</v>
      </c>
      <c r="K93" s="9" t="s">
        <v>27</v>
      </c>
      <c r="L93" s="9" t="s">
        <v>236</v>
      </c>
      <c r="M93" s="16" t="str">
        <f t="shared" si="6"/>
        <v>low</v>
      </c>
    </row>
    <row r="94" spans="1:13" x14ac:dyDescent="0.25">
      <c r="A94" s="5" t="s">
        <v>237</v>
      </c>
      <c r="B94" s="6" t="s">
        <v>78</v>
      </c>
      <c r="C94" s="6" t="s">
        <v>44</v>
      </c>
      <c r="D94" s="6">
        <v>5</v>
      </c>
      <c r="E94" s="6">
        <v>231.35</v>
      </c>
      <c r="F94" s="6">
        <v>1156.75</v>
      </c>
      <c r="G94">
        <f t="shared" si="4"/>
        <v>1157</v>
      </c>
      <c r="H94" s="7">
        <v>45700</v>
      </c>
      <c r="I94" s="16" t="str">
        <f t="shared" si="5"/>
        <v>Wednesday</v>
      </c>
      <c r="J94" s="6" t="s">
        <v>18</v>
      </c>
      <c r="K94" s="6" t="s">
        <v>37</v>
      </c>
      <c r="L94" s="6" t="s">
        <v>238</v>
      </c>
      <c r="M94" s="16" t="str">
        <f t="shared" si="6"/>
        <v>low</v>
      </c>
    </row>
    <row r="95" spans="1:13" x14ac:dyDescent="0.25">
      <c r="A95" s="8" t="s">
        <v>239</v>
      </c>
      <c r="B95" s="9" t="s">
        <v>58</v>
      </c>
      <c r="C95" s="9" t="s">
        <v>59</v>
      </c>
      <c r="D95" s="9">
        <v>4</v>
      </c>
      <c r="E95" s="9">
        <v>208.62</v>
      </c>
      <c r="F95" s="9">
        <v>834.48</v>
      </c>
      <c r="G95">
        <f t="shared" si="4"/>
        <v>835</v>
      </c>
      <c r="H95" s="10">
        <v>45793</v>
      </c>
      <c r="I95" s="16" t="str">
        <f t="shared" si="5"/>
        <v>Friday</v>
      </c>
      <c r="J95" s="9" t="s">
        <v>18</v>
      </c>
      <c r="K95" s="9" t="s">
        <v>19</v>
      </c>
      <c r="L95" s="9" t="s">
        <v>240</v>
      </c>
      <c r="M95" s="16" t="str">
        <f t="shared" si="6"/>
        <v>low</v>
      </c>
    </row>
    <row r="96" spans="1:13" x14ac:dyDescent="0.25">
      <c r="A96" s="5" t="s">
        <v>241</v>
      </c>
      <c r="B96" s="6" t="s">
        <v>40</v>
      </c>
      <c r="C96" s="6" t="s">
        <v>12</v>
      </c>
      <c r="D96" s="6">
        <v>8</v>
      </c>
      <c r="E96" s="6">
        <v>364.42</v>
      </c>
      <c r="F96" s="6">
        <v>2915.36</v>
      </c>
      <c r="G96">
        <f t="shared" si="4"/>
        <v>2916</v>
      </c>
      <c r="H96" s="7">
        <v>45195</v>
      </c>
      <c r="I96" s="16" t="str">
        <f t="shared" si="5"/>
        <v>Tuesday</v>
      </c>
      <c r="J96" s="6" t="s">
        <v>31</v>
      </c>
      <c r="K96" s="6" t="s">
        <v>14</v>
      </c>
      <c r="L96" s="6" t="s">
        <v>242</v>
      </c>
      <c r="M96" s="16" t="str">
        <f t="shared" si="6"/>
        <v>high</v>
      </c>
    </row>
    <row r="97" spans="1:13" x14ac:dyDescent="0.25">
      <c r="A97" s="8" t="s">
        <v>243</v>
      </c>
      <c r="B97" s="9" t="s">
        <v>78</v>
      </c>
      <c r="C97" s="9" t="s">
        <v>44</v>
      </c>
      <c r="D97" s="9">
        <v>3</v>
      </c>
      <c r="E97" s="9">
        <v>398.62</v>
      </c>
      <c r="F97" s="9">
        <v>1195.8599999999999</v>
      </c>
      <c r="G97">
        <f t="shared" si="4"/>
        <v>1196</v>
      </c>
      <c r="H97" s="10">
        <v>45757</v>
      </c>
      <c r="I97" s="16" t="str">
        <f t="shared" si="5"/>
        <v>Thursday</v>
      </c>
      <c r="J97" s="9" t="s">
        <v>48</v>
      </c>
      <c r="K97" s="9" t="s">
        <v>19</v>
      </c>
      <c r="L97" s="9" t="s">
        <v>244</v>
      </c>
      <c r="M97" s="16" t="str">
        <f t="shared" si="6"/>
        <v>low</v>
      </c>
    </row>
    <row r="98" spans="1:13" x14ac:dyDescent="0.25">
      <c r="A98" s="5" t="s">
        <v>245</v>
      </c>
      <c r="B98" s="6" t="s">
        <v>30</v>
      </c>
      <c r="C98" s="6" t="s">
        <v>12</v>
      </c>
      <c r="D98" s="6">
        <v>7</v>
      </c>
      <c r="E98" s="6">
        <v>129.18</v>
      </c>
      <c r="F98" s="6">
        <v>904.26</v>
      </c>
      <c r="G98">
        <f t="shared" si="4"/>
        <v>905</v>
      </c>
      <c r="H98" s="7">
        <v>45400</v>
      </c>
      <c r="I98" s="16" t="str">
        <f t="shared" si="5"/>
        <v>Thursday</v>
      </c>
      <c r="J98" s="6" t="s">
        <v>18</v>
      </c>
      <c r="K98" s="6" t="s">
        <v>27</v>
      </c>
      <c r="L98" s="6" t="s">
        <v>246</v>
      </c>
      <c r="M98" s="16" t="str">
        <f t="shared" si="6"/>
        <v>low</v>
      </c>
    </row>
    <row r="99" spans="1:13" x14ac:dyDescent="0.25">
      <c r="A99" s="8" t="s">
        <v>247</v>
      </c>
      <c r="B99" s="9" t="s">
        <v>190</v>
      </c>
      <c r="C99" s="9" t="s">
        <v>23</v>
      </c>
      <c r="D99" s="9">
        <v>7</v>
      </c>
      <c r="E99" s="9">
        <v>217.02</v>
      </c>
      <c r="F99" s="9">
        <v>1519.14</v>
      </c>
      <c r="G99">
        <f t="shared" si="4"/>
        <v>1520</v>
      </c>
      <c r="H99" s="10">
        <v>45834</v>
      </c>
      <c r="I99" s="16" t="str">
        <f t="shared" si="5"/>
        <v>Thursday</v>
      </c>
      <c r="J99" s="9" t="s">
        <v>48</v>
      </c>
      <c r="K99" s="9" t="s">
        <v>19</v>
      </c>
      <c r="L99" s="9" t="s">
        <v>248</v>
      </c>
      <c r="M99" s="16" t="str">
        <f t="shared" si="6"/>
        <v>low</v>
      </c>
    </row>
    <row r="100" spans="1:13" x14ac:dyDescent="0.25">
      <c r="A100" s="5" t="s">
        <v>249</v>
      </c>
      <c r="B100" s="6" t="s">
        <v>250</v>
      </c>
      <c r="C100" s="6" t="s">
        <v>63</v>
      </c>
      <c r="D100" s="6">
        <v>1</v>
      </c>
      <c r="E100" s="6">
        <v>223.96</v>
      </c>
      <c r="F100" s="6">
        <v>223.96</v>
      </c>
      <c r="G100">
        <f t="shared" si="4"/>
        <v>224</v>
      </c>
      <c r="H100" s="7">
        <v>45022</v>
      </c>
      <c r="I100" s="16" t="str">
        <f t="shared" si="5"/>
        <v>Thursday</v>
      </c>
      <c r="J100" s="6" t="s">
        <v>48</v>
      </c>
      <c r="K100" s="6" t="s">
        <v>19</v>
      </c>
      <c r="L100" s="6" t="s">
        <v>251</v>
      </c>
      <c r="M100" s="16" t="str">
        <f t="shared" si="6"/>
        <v>low</v>
      </c>
    </row>
    <row r="101" spans="1:13" x14ac:dyDescent="0.25">
      <c r="A101" s="8" t="s">
        <v>252</v>
      </c>
      <c r="B101" s="9" t="s">
        <v>84</v>
      </c>
      <c r="C101" s="9" t="s">
        <v>23</v>
      </c>
      <c r="D101" s="9">
        <v>6</v>
      </c>
      <c r="E101" s="9">
        <v>358.72</v>
      </c>
      <c r="F101" s="9">
        <v>2152.3200000000002</v>
      </c>
      <c r="G101">
        <f t="shared" si="4"/>
        <v>2153</v>
      </c>
      <c r="H101" s="10">
        <v>45414</v>
      </c>
      <c r="I101" s="16" t="str">
        <f t="shared" si="5"/>
        <v>Thursday</v>
      </c>
      <c r="J101" s="9" t="s">
        <v>31</v>
      </c>
      <c r="K101" s="9" t="s">
        <v>14</v>
      </c>
      <c r="L101" s="9" t="s">
        <v>253</v>
      </c>
      <c r="M101" s="16" t="str">
        <f t="shared" si="6"/>
        <v>high</v>
      </c>
    </row>
    <row r="102" spans="1:13" x14ac:dyDescent="0.25">
      <c r="A102" s="5" t="s">
        <v>254</v>
      </c>
      <c r="B102" s="6" t="s">
        <v>81</v>
      </c>
      <c r="C102" s="6" t="s">
        <v>55</v>
      </c>
      <c r="D102" s="6">
        <v>5</v>
      </c>
      <c r="E102" s="6">
        <v>320.94</v>
      </c>
      <c r="F102" s="6">
        <v>1604.7</v>
      </c>
      <c r="G102">
        <f t="shared" si="4"/>
        <v>1605</v>
      </c>
      <c r="H102" s="7">
        <v>45115</v>
      </c>
      <c r="I102" s="16" t="str">
        <f t="shared" si="5"/>
        <v>Saturday</v>
      </c>
      <c r="J102" s="6" t="s">
        <v>13</v>
      </c>
      <c r="K102" s="6" t="s">
        <v>19</v>
      </c>
      <c r="L102" s="6" t="s">
        <v>255</v>
      </c>
      <c r="M102" s="16" t="str">
        <f t="shared" si="6"/>
        <v>low</v>
      </c>
    </row>
    <row r="103" spans="1:13" x14ac:dyDescent="0.25">
      <c r="A103" s="8" t="s">
        <v>256</v>
      </c>
      <c r="B103" s="9" t="s">
        <v>17</v>
      </c>
      <c r="C103" s="9" t="s">
        <v>12</v>
      </c>
      <c r="D103" s="9">
        <v>5</v>
      </c>
      <c r="E103" s="9">
        <v>307.8</v>
      </c>
      <c r="F103" s="9">
        <v>1539</v>
      </c>
      <c r="G103">
        <f t="shared" si="4"/>
        <v>1539</v>
      </c>
      <c r="H103" s="10">
        <v>45173</v>
      </c>
      <c r="I103" s="16" t="str">
        <f t="shared" si="5"/>
        <v>Monday</v>
      </c>
      <c r="J103" s="9" t="s">
        <v>48</v>
      </c>
      <c r="K103" s="9" t="s">
        <v>14</v>
      </c>
      <c r="L103" s="9" t="s">
        <v>257</v>
      </c>
      <c r="M103" s="16" t="str">
        <f t="shared" si="6"/>
        <v>low</v>
      </c>
    </row>
    <row r="104" spans="1:13" x14ac:dyDescent="0.25">
      <c r="A104" s="5" t="s">
        <v>258</v>
      </c>
      <c r="B104" s="6" t="s">
        <v>190</v>
      </c>
      <c r="C104" s="6" t="s">
        <v>23</v>
      </c>
      <c r="D104" s="6">
        <v>3</v>
      </c>
      <c r="E104" s="6">
        <v>380.13</v>
      </c>
      <c r="F104" s="6">
        <v>1140.3900000000001</v>
      </c>
      <c r="G104">
        <f t="shared" si="4"/>
        <v>1141</v>
      </c>
      <c r="H104" s="7">
        <v>45623</v>
      </c>
      <c r="I104" s="16" t="str">
        <f t="shared" si="5"/>
        <v>Wednesday</v>
      </c>
      <c r="J104" s="6" t="s">
        <v>31</v>
      </c>
      <c r="K104" s="6" t="s">
        <v>37</v>
      </c>
      <c r="L104" s="6" t="s">
        <v>259</v>
      </c>
      <c r="M104" s="16" t="str">
        <f t="shared" si="6"/>
        <v>low</v>
      </c>
    </row>
    <row r="105" spans="1:13" x14ac:dyDescent="0.25">
      <c r="A105" s="8" t="s">
        <v>260</v>
      </c>
      <c r="B105" s="9" t="s">
        <v>87</v>
      </c>
      <c r="C105" s="9" t="s">
        <v>59</v>
      </c>
      <c r="D105" s="9">
        <v>1</v>
      </c>
      <c r="E105" s="9">
        <v>159.15</v>
      </c>
      <c r="F105" s="9">
        <v>159.15</v>
      </c>
      <c r="G105">
        <f t="shared" si="4"/>
        <v>160</v>
      </c>
      <c r="H105" s="10">
        <v>45884</v>
      </c>
      <c r="I105" s="16" t="str">
        <f t="shared" si="5"/>
        <v>Friday</v>
      </c>
      <c r="J105" s="9" t="s">
        <v>31</v>
      </c>
      <c r="K105" s="9" t="s">
        <v>37</v>
      </c>
      <c r="L105" s="9" t="s">
        <v>261</v>
      </c>
      <c r="M105" s="16" t="str">
        <f t="shared" si="6"/>
        <v>low</v>
      </c>
    </row>
    <row r="106" spans="1:13" x14ac:dyDescent="0.25">
      <c r="A106" s="5" t="s">
        <v>262</v>
      </c>
      <c r="B106" s="6" t="s">
        <v>22</v>
      </c>
      <c r="C106" s="6" t="s">
        <v>23</v>
      </c>
      <c r="D106" s="6">
        <v>5</v>
      </c>
      <c r="E106" s="6">
        <v>239.37</v>
      </c>
      <c r="F106" s="6">
        <v>1196.8499999999999</v>
      </c>
      <c r="G106">
        <f t="shared" si="4"/>
        <v>1197</v>
      </c>
      <c r="H106" s="7">
        <v>45215</v>
      </c>
      <c r="I106" s="16" t="str">
        <f t="shared" si="5"/>
        <v>Monday</v>
      </c>
      <c r="J106" s="6" t="s">
        <v>48</v>
      </c>
      <c r="K106" s="6" t="s">
        <v>37</v>
      </c>
      <c r="L106" s="6" t="s">
        <v>263</v>
      </c>
      <c r="M106" s="16" t="str">
        <f t="shared" si="6"/>
        <v>low</v>
      </c>
    </row>
    <row r="107" spans="1:13" x14ac:dyDescent="0.25">
      <c r="A107" s="8" t="s">
        <v>264</v>
      </c>
      <c r="B107" s="9" t="s">
        <v>34</v>
      </c>
      <c r="C107" s="9" t="s">
        <v>23</v>
      </c>
      <c r="D107" s="9">
        <v>5</v>
      </c>
      <c r="E107" s="9">
        <v>202.26</v>
      </c>
      <c r="F107" s="9">
        <v>1011.3</v>
      </c>
      <c r="G107">
        <f t="shared" si="4"/>
        <v>1012</v>
      </c>
      <c r="H107" s="10">
        <v>45448</v>
      </c>
      <c r="I107" s="16" t="str">
        <f t="shared" si="5"/>
        <v>Wednesday</v>
      </c>
      <c r="J107" s="9" t="s">
        <v>13</v>
      </c>
      <c r="K107" s="9" t="s">
        <v>19</v>
      </c>
      <c r="L107" s="9" t="s">
        <v>265</v>
      </c>
      <c r="M107" s="16" t="str">
        <f t="shared" si="6"/>
        <v>low</v>
      </c>
    </row>
    <row r="108" spans="1:13" x14ac:dyDescent="0.25">
      <c r="A108" s="5" t="s">
        <v>266</v>
      </c>
      <c r="B108" s="6" t="s">
        <v>17</v>
      </c>
      <c r="C108" s="6" t="s">
        <v>12</v>
      </c>
      <c r="D108" s="6">
        <v>4</v>
      </c>
      <c r="E108" s="6">
        <v>190.43</v>
      </c>
      <c r="F108" s="6">
        <v>761.72</v>
      </c>
      <c r="G108">
        <f t="shared" si="4"/>
        <v>762</v>
      </c>
      <c r="H108" s="7">
        <v>45688</v>
      </c>
      <c r="I108" s="16" t="str">
        <f t="shared" si="5"/>
        <v>Friday</v>
      </c>
      <c r="J108" s="6" t="s">
        <v>48</v>
      </c>
      <c r="K108" s="6" t="s">
        <v>19</v>
      </c>
      <c r="L108" s="6" t="s">
        <v>267</v>
      </c>
      <c r="M108" s="16" t="str">
        <f t="shared" si="6"/>
        <v>low</v>
      </c>
    </row>
    <row r="109" spans="1:13" x14ac:dyDescent="0.25">
      <c r="A109" s="8" t="s">
        <v>268</v>
      </c>
      <c r="B109" s="9" t="s">
        <v>159</v>
      </c>
      <c r="C109" s="9" t="s">
        <v>63</v>
      </c>
      <c r="D109" s="9">
        <v>1</v>
      </c>
      <c r="E109" s="9">
        <v>271.99</v>
      </c>
      <c r="F109" s="9">
        <v>271.99</v>
      </c>
      <c r="G109">
        <f t="shared" si="4"/>
        <v>272</v>
      </c>
      <c r="H109" s="10">
        <v>45442</v>
      </c>
      <c r="I109" s="16" t="str">
        <f t="shared" si="5"/>
        <v>Thursday</v>
      </c>
      <c r="J109" s="9" t="s">
        <v>31</v>
      </c>
      <c r="K109" s="9" t="s">
        <v>37</v>
      </c>
      <c r="L109" s="9" t="s">
        <v>269</v>
      </c>
      <c r="M109" s="16" t="str">
        <f t="shared" si="6"/>
        <v>low</v>
      </c>
    </row>
    <row r="110" spans="1:13" x14ac:dyDescent="0.25">
      <c r="A110" s="5" t="s">
        <v>270</v>
      </c>
      <c r="B110" s="6" t="s">
        <v>40</v>
      </c>
      <c r="C110" s="6" t="s">
        <v>12</v>
      </c>
      <c r="D110" s="6">
        <v>7</v>
      </c>
      <c r="E110" s="6">
        <v>472.4</v>
      </c>
      <c r="F110" s="6">
        <v>3306.8</v>
      </c>
      <c r="G110">
        <f t="shared" si="4"/>
        <v>3307</v>
      </c>
      <c r="H110" s="7">
        <v>45914</v>
      </c>
      <c r="I110" s="16" t="str">
        <f t="shared" si="5"/>
        <v>Sunday</v>
      </c>
      <c r="J110" s="6" t="s">
        <v>48</v>
      </c>
      <c r="K110" s="6" t="s">
        <v>37</v>
      </c>
      <c r="L110" s="6" t="s">
        <v>271</v>
      </c>
      <c r="M110" s="16" t="str">
        <f t="shared" si="6"/>
        <v>high</v>
      </c>
    </row>
    <row r="111" spans="1:13" x14ac:dyDescent="0.25">
      <c r="A111" s="8" t="s">
        <v>272</v>
      </c>
      <c r="B111" s="9" t="s">
        <v>34</v>
      </c>
      <c r="C111" s="9" t="s">
        <v>23</v>
      </c>
      <c r="D111" s="9">
        <v>4</v>
      </c>
      <c r="E111" s="9">
        <v>289.86</v>
      </c>
      <c r="F111" s="9">
        <v>1159.44</v>
      </c>
      <c r="G111">
        <f t="shared" si="4"/>
        <v>1160</v>
      </c>
      <c r="H111" s="10">
        <v>45616</v>
      </c>
      <c r="I111" s="16" t="str">
        <f t="shared" si="5"/>
        <v>Wednesday</v>
      </c>
      <c r="J111" s="9" t="s">
        <v>13</v>
      </c>
      <c r="K111" s="9" t="s">
        <v>37</v>
      </c>
      <c r="L111" s="9" t="s">
        <v>273</v>
      </c>
      <c r="M111" s="16" t="str">
        <f t="shared" si="6"/>
        <v>low</v>
      </c>
    </row>
    <row r="112" spans="1:13" x14ac:dyDescent="0.25">
      <c r="A112" s="5" t="s">
        <v>274</v>
      </c>
      <c r="B112" s="6" t="s">
        <v>58</v>
      </c>
      <c r="C112" s="6" t="s">
        <v>59</v>
      </c>
      <c r="D112" s="6">
        <v>1</v>
      </c>
      <c r="E112" s="6">
        <v>231.84</v>
      </c>
      <c r="F112" s="6">
        <v>231.84</v>
      </c>
      <c r="G112">
        <f t="shared" si="4"/>
        <v>232</v>
      </c>
      <c r="H112" s="7">
        <v>45617</v>
      </c>
      <c r="I112" s="16" t="str">
        <f t="shared" si="5"/>
        <v>Thursday</v>
      </c>
      <c r="J112" s="6" t="s">
        <v>48</v>
      </c>
      <c r="K112" s="6" t="s">
        <v>14</v>
      </c>
      <c r="L112" s="6" t="s">
        <v>275</v>
      </c>
      <c r="M112" s="16" t="str">
        <f t="shared" si="6"/>
        <v>low</v>
      </c>
    </row>
    <row r="113" spans="1:13" x14ac:dyDescent="0.25">
      <c r="A113" s="8" t="s">
        <v>276</v>
      </c>
      <c r="B113" s="9" t="s">
        <v>87</v>
      </c>
      <c r="C113" s="9" t="s">
        <v>59</v>
      </c>
      <c r="D113" s="9">
        <v>3</v>
      </c>
      <c r="E113" s="9">
        <v>411.11</v>
      </c>
      <c r="F113" s="9">
        <v>1233.33</v>
      </c>
      <c r="G113">
        <f t="shared" si="4"/>
        <v>1234</v>
      </c>
      <c r="H113" s="10">
        <v>45094</v>
      </c>
      <c r="I113" s="16" t="str">
        <f t="shared" si="5"/>
        <v>Saturday</v>
      </c>
      <c r="J113" s="9" t="s">
        <v>31</v>
      </c>
      <c r="K113" s="9" t="s">
        <v>14</v>
      </c>
      <c r="L113" s="9" t="s">
        <v>277</v>
      </c>
      <c r="M113" s="16" t="str">
        <f t="shared" si="6"/>
        <v>low</v>
      </c>
    </row>
    <row r="114" spans="1:13" x14ac:dyDescent="0.25">
      <c r="A114" s="5" t="s">
        <v>278</v>
      </c>
      <c r="B114" s="6" t="s">
        <v>99</v>
      </c>
      <c r="C114" s="6" t="s">
        <v>55</v>
      </c>
      <c r="D114" s="6">
        <v>2</v>
      </c>
      <c r="E114" s="6">
        <v>24.29</v>
      </c>
      <c r="F114" s="6">
        <v>48.58</v>
      </c>
      <c r="G114">
        <f t="shared" si="4"/>
        <v>49</v>
      </c>
      <c r="H114" s="7">
        <v>45680</v>
      </c>
      <c r="I114" s="16" t="str">
        <f t="shared" si="5"/>
        <v>Thursday</v>
      </c>
      <c r="J114" s="6" t="s">
        <v>48</v>
      </c>
      <c r="K114" s="6" t="s">
        <v>14</v>
      </c>
      <c r="L114" s="6" t="s">
        <v>279</v>
      </c>
      <c r="M114" s="16" t="str">
        <f t="shared" si="6"/>
        <v>low</v>
      </c>
    </row>
    <row r="115" spans="1:13" x14ac:dyDescent="0.25">
      <c r="A115" s="8" t="s">
        <v>280</v>
      </c>
      <c r="B115" s="9" t="s">
        <v>62</v>
      </c>
      <c r="C115" s="9" t="s">
        <v>63</v>
      </c>
      <c r="D115" s="9">
        <v>7</v>
      </c>
      <c r="E115" s="9">
        <v>40.24</v>
      </c>
      <c r="F115" s="9">
        <v>281.68</v>
      </c>
      <c r="G115">
        <f t="shared" si="4"/>
        <v>282</v>
      </c>
      <c r="H115" s="10">
        <v>45702</v>
      </c>
      <c r="I115" s="16" t="str">
        <f t="shared" si="5"/>
        <v>Friday</v>
      </c>
      <c r="J115" s="9" t="s">
        <v>18</v>
      </c>
      <c r="K115" s="9" t="s">
        <v>27</v>
      </c>
      <c r="L115" s="9" t="s">
        <v>281</v>
      </c>
      <c r="M115" s="16" t="str">
        <f t="shared" si="6"/>
        <v>low</v>
      </c>
    </row>
    <row r="116" spans="1:13" x14ac:dyDescent="0.25">
      <c r="A116" s="5" t="s">
        <v>282</v>
      </c>
      <c r="B116" s="6" t="s">
        <v>62</v>
      </c>
      <c r="C116" s="6" t="s">
        <v>63</v>
      </c>
      <c r="D116" s="6">
        <v>2</v>
      </c>
      <c r="E116" s="6">
        <v>134.04</v>
      </c>
      <c r="F116" s="6">
        <v>268.08</v>
      </c>
      <c r="G116">
        <f t="shared" si="4"/>
        <v>269</v>
      </c>
      <c r="H116" s="7">
        <v>45829</v>
      </c>
      <c r="I116" s="16" t="str">
        <f t="shared" si="5"/>
        <v>Saturday</v>
      </c>
      <c r="J116" s="6" t="s">
        <v>18</v>
      </c>
      <c r="K116" s="6" t="s">
        <v>19</v>
      </c>
      <c r="L116" s="6" t="s">
        <v>283</v>
      </c>
      <c r="M116" s="16" t="str">
        <f t="shared" si="6"/>
        <v>low</v>
      </c>
    </row>
    <row r="117" spans="1:13" x14ac:dyDescent="0.25">
      <c r="A117" s="8" t="s">
        <v>284</v>
      </c>
      <c r="B117" s="9" t="s">
        <v>99</v>
      </c>
      <c r="C117" s="9" t="s">
        <v>55</v>
      </c>
      <c r="D117" s="9">
        <v>5</v>
      </c>
      <c r="E117" s="9">
        <v>177.43</v>
      </c>
      <c r="F117" s="9">
        <v>887.15</v>
      </c>
      <c r="G117">
        <f t="shared" si="4"/>
        <v>888</v>
      </c>
      <c r="H117" s="10">
        <v>45001</v>
      </c>
      <c r="I117" s="16" t="str">
        <f t="shared" si="5"/>
        <v>Thursday</v>
      </c>
      <c r="J117" s="9" t="s">
        <v>18</v>
      </c>
      <c r="K117" s="9" t="s">
        <v>37</v>
      </c>
      <c r="L117" s="9" t="s">
        <v>285</v>
      </c>
      <c r="M117" s="16" t="str">
        <f t="shared" si="6"/>
        <v>low</v>
      </c>
    </row>
    <row r="118" spans="1:13" x14ac:dyDescent="0.25">
      <c r="A118" s="5" t="s">
        <v>286</v>
      </c>
      <c r="B118" s="6" t="s">
        <v>26</v>
      </c>
      <c r="C118" s="6" t="s">
        <v>23</v>
      </c>
      <c r="D118" s="6">
        <v>8</v>
      </c>
      <c r="E118" s="6">
        <v>368.86</v>
      </c>
      <c r="F118" s="6">
        <v>2950.88</v>
      </c>
      <c r="G118">
        <f t="shared" si="4"/>
        <v>2951</v>
      </c>
      <c r="H118" s="7">
        <v>45203</v>
      </c>
      <c r="I118" s="16" t="str">
        <f t="shared" si="5"/>
        <v>Wednesday</v>
      </c>
      <c r="J118" s="6" t="s">
        <v>48</v>
      </c>
      <c r="K118" s="6" t="s">
        <v>14</v>
      </c>
      <c r="L118" s="6" t="s">
        <v>287</v>
      </c>
      <c r="M118" s="16" t="str">
        <f t="shared" si="6"/>
        <v>high</v>
      </c>
    </row>
    <row r="119" spans="1:13" x14ac:dyDescent="0.25">
      <c r="A119" s="8" t="s">
        <v>288</v>
      </c>
      <c r="B119" s="9" t="s">
        <v>99</v>
      </c>
      <c r="C119" s="9" t="s">
        <v>55</v>
      </c>
      <c r="D119" s="9">
        <v>9</v>
      </c>
      <c r="E119" s="9">
        <v>276.25</v>
      </c>
      <c r="F119" s="9">
        <v>2486.25</v>
      </c>
      <c r="G119">
        <f t="shared" si="4"/>
        <v>2487</v>
      </c>
      <c r="H119" s="10">
        <v>45795</v>
      </c>
      <c r="I119" s="16" t="str">
        <f t="shared" si="5"/>
        <v>Sunday</v>
      </c>
      <c r="J119" s="9" t="s">
        <v>18</v>
      </c>
      <c r="K119" s="9" t="s">
        <v>37</v>
      </c>
      <c r="L119" s="9" t="s">
        <v>289</v>
      </c>
      <c r="M119" s="16" t="str">
        <f t="shared" si="6"/>
        <v>high</v>
      </c>
    </row>
    <row r="120" spans="1:13" x14ac:dyDescent="0.25">
      <c r="A120" s="5" t="s">
        <v>290</v>
      </c>
      <c r="B120" s="6" t="s">
        <v>73</v>
      </c>
      <c r="C120" s="6" t="s">
        <v>59</v>
      </c>
      <c r="D120" s="6">
        <v>8</v>
      </c>
      <c r="E120" s="6">
        <v>404.38</v>
      </c>
      <c r="F120" s="6">
        <v>3235.04</v>
      </c>
      <c r="G120">
        <f t="shared" si="4"/>
        <v>3236</v>
      </c>
      <c r="H120" s="7">
        <v>45615</v>
      </c>
      <c r="I120" s="16" t="str">
        <f t="shared" si="5"/>
        <v>Tuesday</v>
      </c>
      <c r="J120" s="6" t="s">
        <v>18</v>
      </c>
      <c r="K120" s="6" t="s">
        <v>37</v>
      </c>
      <c r="L120" s="6" t="s">
        <v>291</v>
      </c>
      <c r="M120" s="16" t="str">
        <f t="shared" si="6"/>
        <v>high</v>
      </c>
    </row>
    <row r="121" spans="1:13" x14ac:dyDescent="0.25">
      <c r="A121" s="8" t="s">
        <v>292</v>
      </c>
      <c r="B121" s="9" t="s">
        <v>54</v>
      </c>
      <c r="C121" s="9" t="s">
        <v>55</v>
      </c>
      <c r="D121" s="9">
        <v>4</v>
      </c>
      <c r="E121" s="9">
        <v>189.15</v>
      </c>
      <c r="F121" s="9">
        <v>756.6</v>
      </c>
      <c r="G121">
        <f t="shared" si="4"/>
        <v>757</v>
      </c>
      <c r="H121" s="10">
        <v>45925</v>
      </c>
      <c r="I121" s="16" t="str">
        <f t="shared" si="5"/>
        <v>Thursday</v>
      </c>
      <c r="J121" s="9" t="s">
        <v>31</v>
      </c>
      <c r="K121" s="9" t="s">
        <v>19</v>
      </c>
      <c r="L121" s="9" t="s">
        <v>293</v>
      </c>
      <c r="M121" s="16" t="str">
        <f t="shared" si="6"/>
        <v>low</v>
      </c>
    </row>
    <row r="122" spans="1:13" x14ac:dyDescent="0.25">
      <c r="A122" s="5" t="s">
        <v>294</v>
      </c>
      <c r="B122" s="6" t="s">
        <v>159</v>
      </c>
      <c r="C122" s="6" t="s">
        <v>63</v>
      </c>
      <c r="D122" s="6">
        <v>8</v>
      </c>
      <c r="E122" s="6">
        <v>434.22</v>
      </c>
      <c r="F122" s="6">
        <v>3473.76</v>
      </c>
      <c r="G122">
        <f t="shared" si="4"/>
        <v>3474</v>
      </c>
      <c r="H122" s="7">
        <v>45662</v>
      </c>
      <c r="I122" s="16" t="str">
        <f t="shared" si="5"/>
        <v>Sunday</v>
      </c>
      <c r="J122" s="6" t="s">
        <v>13</v>
      </c>
      <c r="K122" s="6" t="s">
        <v>19</v>
      </c>
      <c r="L122" s="6" t="s">
        <v>295</v>
      </c>
      <c r="M122" s="16" t="str">
        <f t="shared" si="6"/>
        <v>high</v>
      </c>
    </row>
    <row r="123" spans="1:13" x14ac:dyDescent="0.25">
      <c r="A123" s="8" t="s">
        <v>296</v>
      </c>
      <c r="B123" s="9" t="s">
        <v>159</v>
      </c>
      <c r="C123" s="9" t="s">
        <v>63</v>
      </c>
      <c r="D123" s="9">
        <v>7</v>
      </c>
      <c r="E123" s="9">
        <v>376.68</v>
      </c>
      <c r="F123" s="9">
        <v>2636.76</v>
      </c>
      <c r="G123">
        <f t="shared" si="4"/>
        <v>2637</v>
      </c>
      <c r="H123" s="10">
        <v>45143</v>
      </c>
      <c r="I123" s="16" t="str">
        <f t="shared" si="5"/>
        <v>Saturday</v>
      </c>
      <c r="J123" s="9" t="s">
        <v>48</v>
      </c>
      <c r="K123" s="9" t="s">
        <v>14</v>
      </c>
      <c r="L123" s="9" t="s">
        <v>297</v>
      </c>
      <c r="M123" s="16" t="str">
        <f t="shared" si="6"/>
        <v>high</v>
      </c>
    </row>
    <row r="124" spans="1:13" x14ac:dyDescent="0.25">
      <c r="A124" s="5" t="s">
        <v>298</v>
      </c>
      <c r="B124" s="6" t="s">
        <v>250</v>
      </c>
      <c r="C124" s="6" t="s">
        <v>63</v>
      </c>
      <c r="D124" s="6">
        <v>9</v>
      </c>
      <c r="E124" s="6">
        <v>191.98</v>
      </c>
      <c r="F124" s="6">
        <v>1727.82</v>
      </c>
      <c r="G124">
        <f t="shared" si="4"/>
        <v>1728</v>
      </c>
      <c r="H124" s="7">
        <v>45807</v>
      </c>
      <c r="I124" s="16" t="str">
        <f t="shared" si="5"/>
        <v>Friday</v>
      </c>
      <c r="J124" s="6" t="s">
        <v>31</v>
      </c>
      <c r="K124" s="6" t="s">
        <v>37</v>
      </c>
      <c r="L124" s="6" t="s">
        <v>299</v>
      </c>
      <c r="M124" s="16" t="str">
        <f t="shared" si="6"/>
        <v>low</v>
      </c>
    </row>
    <row r="125" spans="1:13" x14ac:dyDescent="0.25">
      <c r="A125" s="8" t="s">
        <v>300</v>
      </c>
      <c r="B125" s="9" t="s">
        <v>54</v>
      </c>
      <c r="C125" s="9" t="s">
        <v>55</v>
      </c>
      <c r="D125" s="9">
        <v>9</v>
      </c>
      <c r="E125" s="9">
        <v>163.41999999999999</v>
      </c>
      <c r="F125" s="9">
        <v>1470.78</v>
      </c>
      <c r="G125">
        <f t="shared" si="4"/>
        <v>1471</v>
      </c>
      <c r="H125" s="10">
        <v>45625</v>
      </c>
      <c r="I125" s="16" t="str">
        <f t="shared" si="5"/>
        <v>Friday</v>
      </c>
      <c r="J125" s="9" t="s">
        <v>31</v>
      </c>
      <c r="K125" s="9" t="s">
        <v>37</v>
      </c>
      <c r="L125" s="9" t="s">
        <v>301</v>
      </c>
      <c r="M125" s="16" t="str">
        <f t="shared" si="6"/>
        <v>low</v>
      </c>
    </row>
    <row r="126" spans="1:13" x14ac:dyDescent="0.25">
      <c r="A126" s="5" t="s">
        <v>302</v>
      </c>
      <c r="B126" s="6" t="s">
        <v>22</v>
      </c>
      <c r="C126" s="6" t="s">
        <v>23</v>
      </c>
      <c r="D126" s="6">
        <v>1</v>
      </c>
      <c r="E126" s="6">
        <v>31.48</v>
      </c>
      <c r="F126" s="6">
        <v>31.48</v>
      </c>
      <c r="G126">
        <f t="shared" si="4"/>
        <v>32</v>
      </c>
      <c r="H126" s="7">
        <v>45371</v>
      </c>
      <c r="I126" s="16" t="str">
        <f t="shared" si="5"/>
        <v>Wednesday</v>
      </c>
      <c r="J126" s="6" t="s">
        <v>13</v>
      </c>
      <c r="K126" s="6" t="s">
        <v>19</v>
      </c>
      <c r="L126" s="6" t="s">
        <v>169</v>
      </c>
      <c r="M126" s="16" t="str">
        <f t="shared" si="6"/>
        <v>low</v>
      </c>
    </row>
    <row r="127" spans="1:13" x14ac:dyDescent="0.25">
      <c r="A127" s="8" t="s">
        <v>303</v>
      </c>
      <c r="B127" s="9" t="s">
        <v>34</v>
      </c>
      <c r="C127" s="9" t="s">
        <v>23</v>
      </c>
      <c r="D127" s="9">
        <v>3</v>
      </c>
      <c r="E127" s="9">
        <v>50.19</v>
      </c>
      <c r="F127" s="9">
        <v>150.57</v>
      </c>
      <c r="G127">
        <f t="shared" si="4"/>
        <v>151</v>
      </c>
      <c r="H127" s="10">
        <v>45381</v>
      </c>
      <c r="I127" s="16" t="str">
        <f t="shared" si="5"/>
        <v>Saturday</v>
      </c>
      <c r="J127" s="9" t="s">
        <v>13</v>
      </c>
      <c r="K127" s="9" t="s">
        <v>19</v>
      </c>
      <c r="L127" s="9" t="s">
        <v>304</v>
      </c>
      <c r="M127" s="16" t="str">
        <f t="shared" si="6"/>
        <v>low</v>
      </c>
    </row>
    <row r="128" spans="1:13" x14ac:dyDescent="0.25">
      <c r="A128" s="5" t="s">
        <v>305</v>
      </c>
      <c r="B128" s="6" t="s">
        <v>17</v>
      </c>
      <c r="C128" s="6" t="s">
        <v>12</v>
      </c>
      <c r="D128" s="6">
        <v>4</v>
      </c>
      <c r="E128" s="6">
        <v>288.85000000000002</v>
      </c>
      <c r="F128" s="6">
        <v>1155.4000000000001</v>
      </c>
      <c r="G128">
        <f t="shared" si="4"/>
        <v>1156</v>
      </c>
      <c r="H128" s="7">
        <v>45293</v>
      </c>
      <c r="I128" s="16" t="str">
        <f t="shared" si="5"/>
        <v>Tuesday</v>
      </c>
      <c r="J128" s="6" t="s">
        <v>48</v>
      </c>
      <c r="K128" s="6" t="s">
        <v>14</v>
      </c>
      <c r="L128" s="6" t="s">
        <v>306</v>
      </c>
      <c r="M128" s="16" t="str">
        <f t="shared" si="6"/>
        <v>low</v>
      </c>
    </row>
    <row r="129" spans="1:13" x14ac:dyDescent="0.25">
      <c r="A129" s="8" t="s">
        <v>307</v>
      </c>
      <c r="B129" s="9" t="s">
        <v>87</v>
      </c>
      <c r="C129" s="9" t="s">
        <v>59</v>
      </c>
      <c r="D129" s="9">
        <v>5</v>
      </c>
      <c r="E129" s="9">
        <v>50.39</v>
      </c>
      <c r="F129" s="9">
        <v>251.95</v>
      </c>
      <c r="G129">
        <f t="shared" si="4"/>
        <v>252</v>
      </c>
      <c r="H129" s="10">
        <v>45322</v>
      </c>
      <c r="I129" s="16" t="str">
        <f t="shared" si="5"/>
        <v>Wednesday</v>
      </c>
      <c r="J129" s="9" t="s">
        <v>18</v>
      </c>
      <c r="K129" s="9" t="s">
        <v>37</v>
      </c>
      <c r="L129" s="9" t="s">
        <v>308</v>
      </c>
      <c r="M129" s="16" t="str">
        <f t="shared" si="6"/>
        <v>low</v>
      </c>
    </row>
    <row r="130" spans="1:13" x14ac:dyDescent="0.25">
      <c r="A130" s="5" t="s">
        <v>309</v>
      </c>
      <c r="B130" s="6" t="s">
        <v>58</v>
      </c>
      <c r="C130" s="6" t="s">
        <v>59</v>
      </c>
      <c r="D130" s="6">
        <v>4</v>
      </c>
      <c r="E130" s="6">
        <v>337.9</v>
      </c>
      <c r="F130" s="6">
        <v>1351.6</v>
      </c>
      <c r="G130">
        <f t="shared" ref="G130:G193" si="7">ROUNDUP(F130,0)</f>
        <v>1352</v>
      </c>
      <c r="H130" s="7">
        <v>45410</v>
      </c>
      <c r="I130" s="16" t="str">
        <f t="shared" ref="I130:I193" si="8">TEXT(H130,"dddd")</f>
        <v>Sunday</v>
      </c>
      <c r="J130" s="6" t="s">
        <v>48</v>
      </c>
      <c r="K130" s="6" t="s">
        <v>27</v>
      </c>
      <c r="L130" s="6" t="s">
        <v>310</v>
      </c>
      <c r="M130" s="16" t="str">
        <f t="shared" ref="M130:M193" si="9">IF(G130&gt;2000,"high","low")</f>
        <v>low</v>
      </c>
    </row>
    <row r="131" spans="1:13" x14ac:dyDescent="0.25">
      <c r="A131" s="8" t="s">
        <v>311</v>
      </c>
      <c r="B131" s="9" t="s">
        <v>159</v>
      </c>
      <c r="C131" s="9" t="s">
        <v>63</v>
      </c>
      <c r="D131" s="9">
        <v>7</v>
      </c>
      <c r="E131" s="9">
        <v>391.74</v>
      </c>
      <c r="F131" s="9">
        <v>2742.18</v>
      </c>
      <c r="G131">
        <f t="shared" si="7"/>
        <v>2743</v>
      </c>
      <c r="H131" s="10">
        <v>44965</v>
      </c>
      <c r="I131" s="16" t="str">
        <f t="shared" si="8"/>
        <v>Wednesday</v>
      </c>
      <c r="J131" s="9" t="s">
        <v>18</v>
      </c>
      <c r="K131" s="9" t="s">
        <v>14</v>
      </c>
      <c r="L131" s="9" t="s">
        <v>312</v>
      </c>
      <c r="M131" s="16" t="str">
        <f t="shared" si="9"/>
        <v>high</v>
      </c>
    </row>
    <row r="132" spans="1:13" x14ac:dyDescent="0.25">
      <c r="A132" s="5" t="s">
        <v>313</v>
      </c>
      <c r="B132" s="6" t="s">
        <v>140</v>
      </c>
      <c r="C132" s="6" t="s">
        <v>59</v>
      </c>
      <c r="D132" s="6">
        <v>5</v>
      </c>
      <c r="E132" s="6">
        <v>249.74</v>
      </c>
      <c r="F132" s="6">
        <v>1248.7</v>
      </c>
      <c r="G132">
        <f t="shared" si="7"/>
        <v>1249</v>
      </c>
      <c r="H132" s="7">
        <v>45861</v>
      </c>
      <c r="I132" s="16" t="str">
        <f t="shared" si="8"/>
        <v>Wednesday</v>
      </c>
      <c r="J132" s="6" t="s">
        <v>18</v>
      </c>
      <c r="K132" s="6" t="s">
        <v>14</v>
      </c>
      <c r="L132" s="6" t="s">
        <v>314</v>
      </c>
      <c r="M132" s="16" t="str">
        <f t="shared" si="9"/>
        <v>low</v>
      </c>
    </row>
    <row r="133" spans="1:13" x14ac:dyDescent="0.25">
      <c r="A133" s="8" t="s">
        <v>315</v>
      </c>
      <c r="B133" s="9" t="s">
        <v>231</v>
      </c>
      <c r="C133" s="9" t="s">
        <v>55</v>
      </c>
      <c r="D133" s="9">
        <v>5</v>
      </c>
      <c r="E133" s="9">
        <v>369.83</v>
      </c>
      <c r="F133" s="9">
        <v>1849.15</v>
      </c>
      <c r="G133">
        <f t="shared" si="7"/>
        <v>1850</v>
      </c>
      <c r="H133" s="10">
        <v>45659</v>
      </c>
      <c r="I133" s="16" t="str">
        <f t="shared" si="8"/>
        <v>Thursday</v>
      </c>
      <c r="J133" s="9" t="s">
        <v>48</v>
      </c>
      <c r="K133" s="9" t="s">
        <v>27</v>
      </c>
      <c r="L133" s="9" t="s">
        <v>316</v>
      </c>
      <c r="M133" s="16" t="str">
        <f t="shared" si="9"/>
        <v>low</v>
      </c>
    </row>
    <row r="134" spans="1:13" x14ac:dyDescent="0.25">
      <c r="A134" s="5" t="s">
        <v>317</v>
      </c>
      <c r="B134" s="6" t="s">
        <v>78</v>
      </c>
      <c r="C134" s="6" t="s">
        <v>44</v>
      </c>
      <c r="D134" s="6">
        <v>2</v>
      </c>
      <c r="E134" s="6">
        <v>484.48</v>
      </c>
      <c r="F134" s="6">
        <v>968.96</v>
      </c>
      <c r="G134">
        <f t="shared" si="7"/>
        <v>969</v>
      </c>
      <c r="H134" s="7">
        <v>44935</v>
      </c>
      <c r="I134" s="16" t="str">
        <f t="shared" si="8"/>
        <v>Monday</v>
      </c>
      <c r="J134" s="6" t="s">
        <v>48</v>
      </c>
      <c r="K134" s="6" t="s">
        <v>37</v>
      </c>
      <c r="L134" s="6" t="s">
        <v>318</v>
      </c>
      <c r="M134" s="16" t="str">
        <f t="shared" si="9"/>
        <v>low</v>
      </c>
    </row>
    <row r="135" spans="1:13" x14ac:dyDescent="0.25">
      <c r="A135" s="8" t="s">
        <v>319</v>
      </c>
      <c r="B135" s="9" t="s">
        <v>110</v>
      </c>
      <c r="C135" s="9" t="s">
        <v>63</v>
      </c>
      <c r="D135" s="9">
        <v>1</v>
      </c>
      <c r="E135" s="9">
        <v>55.06</v>
      </c>
      <c r="F135" s="9">
        <v>55.06</v>
      </c>
      <c r="G135">
        <f t="shared" si="7"/>
        <v>56</v>
      </c>
      <c r="H135" s="10">
        <v>45445</v>
      </c>
      <c r="I135" s="16" t="str">
        <f t="shared" si="8"/>
        <v>Sunday</v>
      </c>
      <c r="J135" s="9" t="s">
        <v>31</v>
      </c>
      <c r="K135" s="9" t="s">
        <v>14</v>
      </c>
      <c r="L135" s="9" t="s">
        <v>320</v>
      </c>
      <c r="M135" s="16" t="str">
        <f t="shared" si="9"/>
        <v>low</v>
      </c>
    </row>
    <row r="136" spans="1:13" x14ac:dyDescent="0.25">
      <c r="A136" s="5" t="s">
        <v>321</v>
      </c>
      <c r="B136" s="6" t="s">
        <v>140</v>
      </c>
      <c r="C136" s="6" t="s">
        <v>59</v>
      </c>
      <c r="D136" s="6">
        <v>8</v>
      </c>
      <c r="E136" s="6">
        <v>41.02</v>
      </c>
      <c r="F136" s="6">
        <v>328.16</v>
      </c>
      <c r="G136">
        <f t="shared" si="7"/>
        <v>329</v>
      </c>
      <c r="H136" s="7">
        <v>45872</v>
      </c>
      <c r="I136" s="16" t="str">
        <f t="shared" si="8"/>
        <v>Sunday</v>
      </c>
      <c r="J136" s="6" t="s">
        <v>13</v>
      </c>
      <c r="K136" s="6" t="s">
        <v>19</v>
      </c>
      <c r="L136" s="6" t="s">
        <v>322</v>
      </c>
      <c r="M136" s="16" t="str">
        <f t="shared" si="9"/>
        <v>low</v>
      </c>
    </row>
    <row r="137" spans="1:13" x14ac:dyDescent="0.25">
      <c r="A137" s="8" t="s">
        <v>323</v>
      </c>
      <c r="B137" s="9" t="s">
        <v>47</v>
      </c>
      <c r="C137" s="9" t="s">
        <v>44</v>
      </c>
      <c r="D137" s="9">
        <v>2</v>
      </c>
      <c r="E137" s="9">
        <v>45.27</v>
      </c>
      <c r="F137" s="9">
        <v>90.54</v>
      </c>
      <c r="G137">
        <f t="shared" si="7"/>
        <v>91</v>
      </c>
      <c r="H137" s="10">
        <v>45091</v>
      </c>
      <c r="I137" s="16" t="str">
        <f t="shared" si="8"/>
        <v>Wednesday</v>
      </c>
      <c r="J137" s="9" t="s">
        <v>18</v>
      </c>
      <c r="K137" s="9" t="s">
        <v>19</v>
      </c>
      <c r="L137" s="9" t="s">
        <v>324</v>
      </c>
      <c r="M137" s="16" t="str">
        <f t="shared" si="9"/>
        <v>low</v>
      </c>
    </row>
    <row r="138" spans="1:13" x14ac:dyDescent="0.25">
      <c r="A138" s="5" t="s">
        <v>325</v>
      </c>
      <c r="B138" s="6" t="s">
        <v>115</v>
      </c>
      <c r="C138" s="6" t="s">
        <v>55</v>
      </c>
      <c r="D138" s="6">
        <v>3</v>
      </c>
      <c r="E138" s="6">
        <v>292.75</v>
      </c>
      <c r="F138" s="6">
        <v>878.25</v>
      </c>
      <c r="G138">
        <f t="shared" si="7"/>
        <v>879</v>
      </c>
      <c r="H138" s="7">
        <v>45291</v>
      </c>
      <c r="I138" s="16" t="str">
        <f t="shared" si="8"/>
        <v>Sunday</v>
      </c>
      <c r="J138" s="6" t="s">
        <v>48</v>
      </c>
      <c r="K138" s="6" t="s">
        <v>37</v>
      </c>
      <c r="L138" s="6" t="s">
        <v>326</v>
      </c>
      <c r="M138" s="16" t="str">
        <f t="shared" si="9"/>
        <v>low</v>
      </c>
    </row>
    <row r="139" spans="1:13" x14ac:dyDescent="0.25">
      <c r="A139" s="8" t="s">
        <v>327</v>
      </c>
      <c r="B139" s="9" t="s">
        <v>250</v>
      </c>
      <c r="C139" s="9" t="s">
        <v>63</v>
      </c>
      <c r="D139" s="9">
        <v>4</v>
      </c>
      <c r="E139" s="9">
        <v>122.16</v>
      </c>
      <c r="F139" s="9">
        <v>488.64</v>
      </c>
      <c r="G139">
        <f t="shared" si="7"/>
        <v>489</v>
      </c>
      <c r="H139" s="10">
        <v>45253</v>
      </c>
      <c r="I139" s="16" t="str">
        <f t="shared" si="8"/>
        <v>Thursday</v>
      </c>
      <c r="J139" s="9" t="s">
        <v>31</v>
      </c>
      <c r="K139" s="9" t="s">
        <v>27</v>
      </c>
      <c r="L139" s="9" t="s">
        <v>328</v>
      </c>
      <c r="M139" s="16" t="str">
        <f t="shared" si="9"/>
        <v>low</v>
      </c>
    </row>
    <row r="140" spans="1:13" x14ac:dyDescent="0.25">
      <c r="A140" s="5" t="s">
        <v>329</v>
      </c>
      <c r="B140" s="6" t="s">
        <v>159</v>
      </c>
      <c r="C140" s="6" t="s">
        <v>63</v>
      </c>
      <c r="D140" s="6">
        <v>4</v>
      </c>
      <c r="E140" s="6">
        <v>178.36</v>
      </c>
      <c r="F140" s="6">
        <v>713.44</v>
      </c>
      <c r="G140">
        <f t="shared" si="7"/>
        <v>714</v>
      </c>
      <c r="H140" s="7">
        <v>45178</v>
      </c>
      <c r="I140" s="16" t="str">
        <f t="shared" si="8"/>
        <v>Saturday</v>
      </c>
      <c r="J140" s="6" t="s">
        <v>48</v>
      </c>
      <c r="K140" s="6" t="s">
        <v>19</v>
      </c>
      <c r="L140" s="6" t="s">
        <v>330</v>
      </c>
      <c r="M140" s="16" t="str">
        <f t="shared" si="9"/>
        <v>low</v>
      </c>
    </row>
    <row r="141" spans="1:13" x14ac:dyDescent="0.25">
      <c r="A141" s="8" t="s">
        <v>331</v>
      </c>
      <c r="B141" s="9" t="s">
        <v>47</v>
      </c>
      <c r="C141" s="9" t="s">
        <v>44</v>
      </c>
      <c r="D141" s="9">
        <v>3</v>
      </c>
      <c r="E141" s="9">
        <v>389.69</v>
      </c>
      <c r="F141" s="9">
        <v>1169.07</v>
      </c>
      <c r="G141">
        <f t="shared" si="7"/>
        <v>1170</v>
      </c>
      <c r="H141" s="10">
        <v>45108</v>
      </c>
      <c r="I141" s="16" t="str">
        <f t="shared" si="8"/>
        <v>Saturday</v>
      </c>
      <c r="J141" s="9" t="s">
        <v>13</v>
      </c>
      <c r="K141" s="9" t="s">
        <v>27</v>
      </c>
      <c r="L141" s="9" t="s">
        <v>332</v>
      </c>
      <c r="M141" s="16" t="str">
        <f t="shared" si="9"/>
        <v>low</v>
      </c>
    </row>
    <row r="142" spans="1:13" x14ac:dyDescent="0.25">
      <c r="A142" s="5" t="s">
        <v>333</v>
      </c>
      <c r="B142" s="6" t="s">
        <v>175</v>
      </c>
      <c r="C142" s="6" t="s">
        <v>12</v>
      </c>
      <c r="D142" s="6">
        <v>3</v>
      </c>
      <c r="E142" s="6">
        <v>60.04</v>
      </c>
      <c r="F142" s="6">
        <v>180.12</v>
      </c>
      <c r="G142">
        <f t="shared" si="7"/>
        <v>181</v>
      </c>
      <c r="H142" s="7">
        <v>45377</v>
      </c>
      <c r="I142" s="16" t="str">
        <f t="shared" si="8"/>
        <v>Tuesday</v>
      </c>
      <c r="J142" s="6" t="s">
        <v>48</v>
      </c>
      <c r="K142" s="6" t="s">
        <v>27</v>
      </c>
      <c r="L142" s="6" t="s">
        <v>334</v>
      </c>
      <c r="M142" s="16" t="str">
        <f t="shared" si="9"/>
        <v>low</v>
      </c>
    </row>
    <row r="143" spans="1:13" x14ac:dyDescent="0.25">
      <c r="A143" s="8" t="s">
        <v>335</v>
      </c>
      <c r="B143" s="9" t="s">
        <v>54</v>
      </c>
      <c r="C143" s="9" t="s">
        <v>55</v>
      </c>
      <c r="D143" s="9">
        <v>2</v>
      </c>
      <c r="E143" s="9">
        <v>236.99</v>
      </c>
      <c r="F143" s="9">
        <v>473.98</v>
      </c>
      <c r="G143">
        <f t="shared" si="7"/>
        <v>474</v>
      </c>
      <c r="H143" s="10">
        <v>44984</v>
      </c>
      <c r="I143" s="16" t="str">
        <f t="shared" si="8"/>
        <v>Monday</v>
      </c>
      <c r="J143" s="9" t="s">
        <v>31</v>
      </c>
      <c r="K143" s="9" t="s">
        <v>37</v>
      </c>
      <c r="L143" s="9" t="s">
        <v>336</v>
      </c>
      <c r="M143" s="16" t="str">
        <f t="shared" si="9"/>
        <v>low</v>
      </c>
    </row>
    <row r="144" spans="1:13" x14ac:dyDescent="0.25">
      <c r="A144" s="5" t="s">
        <v>337</v>
      </c>
      <c r="B144" s="6" t="s">
        <v>99</v>
      </c>
      <c r="C144" s="6" t="s">
        <v>55</v>
      </c>
      <c r="D144" s="6">
        <v>8</v>
      </c>
      <c r="E144" s="6">
        <v>63.18</v>
      </c>
      <c r="F144" s="6">
        <v>505.44</v>
      </c>
      <c r="G144">
        <f t="shared" si="7"/>
        <v>506</v>
      </c>
      <c r="H144" s="7">
        <v>45287</v>
      </c>
      <c r="I144" s="16" t="str">
        <f t="shared" si="8"/>
        <v>Wednesday</v>
      </c>
      <c r="J144" s="6" t="s">
        <v>48</v>
      </c>
      <c r="K144" s="6" t="s">
        <v>19</v>
      </c>
      <c r="L144" s="6" t="s">
        <v>338</v>
      </c>
      <c r="M144" s="16" t="str">
        <f t="shared" si="9"/>
        <v>low</v>
      </c>
    </row>
    <row r="145" spans="1:13" x14ac:dyDescent="0.25">
      <c r="A145" s="8" t="s">
        <v>339</v>
      </c>
      <c r="B145" s="9" t="s">
        <v>81</v>
      </c>
      <c r="C145" s="9" t="s">
        <v>55</v>
      </c>
      <c r="D145" s="9">
        <v>3</v>
      </c>
      <c r="E145" s="9">
        <v>293.77</v>
      </c>
      <c r="F145" s="9">
        <v>881.31</v>
      </c>
      <c r="G145">
        <f t="shared" si="7"/>
        <v>882</v>
      </c>
      <c r="H145" s="10">
        <v>45116</v>
      </c>
      <c r="I145" s="16" t="str">
        <f t="shared" si="8"/>
        <v>Sunday</v>
      </c>
      <c r="J145" s="9" t="s">
        <v>18</v>
      </c>
      <c r="K145" s="9" t="s">
        <v>27</v>
      </c>
      <c r="L145" s="9" t="s">
        <v>340</v>
      </c>
      <c r="M145" s="16" t="str">
        <f t="shared" si="9"/>
        <v>low</v>
      </c>
    </row>
    <row r="146" spans="1:13" x14ac:dyDescent="0.25">
      <c r="A146" s="5" t="s">
        <v>341</v>
      </c>
      <c r="B146" s="6" t="s">
        <v>26</v>
      </c>
      <c r="C146" s="6" t="s">
        <v>23</v>
      </c>
      <c r="D146" s="6">
        <v>1</v>
      </c>
      <c r="E146" s="6">
        <v>46.03</v>
      </c>
      <c r="F146" s="6">
        <v>46.03</v>
      </c>
      <c r="G146">
        <f t="shared" si="7"/>
        <v>47</v>
      </c>
      <c r="H146" s="7">
        <v>45855</v>
      </c>
      <c r="I146" s="16" t="str">
        <f t="shared" si="8"/>
        <v>Thursday</v>
      </c>
      <c r="J146" s="6" t="s">
        <v>13</v>
      </c>
      <c r="K146" s="6" t="s">
        <v>27</v>
      </c>
      <c r="L146" s="6" t="s">
        <v>342</v>
      </c>
      <c r="M146" s="16" t="str">
        <f t="shared" si="9"/>
        <v>low</v>
      </c>
    </row>
    <row r="147" spans="1:13" x14ac:dyDescent="0.25">
      <c r="A147" s="8" t="s">
        <v>343</v>
      </c>
      <c r="B147" s="9" t="s">
        <v>51</v>
      </c>
      <c r="C147" s="9" t="s">
        <v>44</v>
      </c>
      <c r="D147" s="9">
        <v>5</v>
      </c>
      <c r="E147" s="9">
        <v>481.8</v>
      </c>
      <c r="F147" s="9">
        <v>2409</v>
      </c>
      <c r="G147">
        <f t="shared" si="7"/>
        <v>2409</v>
      </c>
      <c r="H147" s="10">
        <v>45482</v>
      </c>
      <c r="I147" s="16" t="str">
        <f t="shared" si="8"/>
        <v>Tuesday</v>
      </c>
      <c r="J147" s="9" t="s">
        <v>18</v>
      </c>
      <c r="K147" s="9" t="s">
        <v>27</v>
      </c>
      <c r="L147" s="9" t="s">
        <v>344</v>
      </c>
      <c r="M147" s="16" t="str">
        <f t="shared" si="9"/>
        <v>high</v>
      </c>
    </row>
    <row r="148" spans="1:13" x14ac:dyDescent="0.25">
      <c r="A148" s="5" t="s">
        <v>345</v>
      </c>
      <c r="B148" s="6" t="s">
        <v>84</v>
      </c>
      <c r="C148" s="6" t="s">
        <v>23</v>
      </c>
      <c r="D148" s="6">
        <v>5</v>
      </c>
      <c r="E148" s="6">
        <v>26.48</v>
      </c>
      <c r="F148" s="6">
        <v>132.4</v>
      </c>
      <c r="G148">
        <f t="shared" si="7"/>
        <v>133</v>
      </c>
      <c r="H148" s="7">
        <v>45139</v>
      </c>
      <c r="I148" s="16" t="str">
        <f t="shared" si="8"/>
        <v>Tuesday</v>
      </c>
      <c r="J148" s="6" t="s">
        <v>31</v>
      </c>
      <c r="K148" s="6" t="s">
        <v>27</v>
      </c>
      <c r="L148" s="6" t="s">
        <v>346</v>
      </c>
      <c r="M148" s="16" t="str">
        <f t="shared" si="9"/>
        <v>low</v>
      </c>
    </row>
    <row r="149" spans="1:13" x14ac:dyDescent="0.25">
      <c r="A149" s="8" t="s">
        <v>347</v>
      </c>
      <c r="B149" s="9" t="s">
        <v>99</v>
      </c>
      <c r="C149" s="9" t="s">
        <v>55</v>
      </c>
      <c r="D149" s="9">
        <v>4</v>
      </c>
      <c r="E149" s="9">
        <v>279.16000000000003</v>
      </c>
      <c r="F149" s="9">
        <v>1116.6400000000001</v>
      </c>
      <c r="G149">
        <f t="shared" si="7"/>
        <v>1117</v>
      </c>
      <c r="H149" s="10">
        <v>45458</v>
      </c>
      <c r="I149" s="16" t="str">
        <f t="shared" si="8"/>
        <v>Saturday</v>
      </c>
      <c r="J149" s="9" t="s">
        <v>13</v>
      </c>
      <c r="K149" s="9" t="s">
        <v>14</v>
      </c>
      <c r="L149" s="9" t="s">
        <v>348</v>
      </c>
      <c r="M149" s="16" t="str">
        <f t="shared" si="9"/>
        <v>low</v>
      </c>
    </row>
    <row r="150" spans="1:13" x14ac:dyDescent="0.25">
      <c r="A150" s="5" t="s">
        <v>349</v>
      </c>
      <c r="B150" s="6" t="s">
        <v>22</v>
      </c>
      <c r="C150" s="6" t="s">
        <v>23</v>
      </c>
      <c r="D150" s="6">
        <v>9</v>
      </c>
      <c r="E150" s="6">
        <v>112.32</v>
      </c>
      <c r="F150" s="6">
        <v>1010.88</v>
      </c>
      <c r="G150">
        <f t="shared" si="7"/>
        <v>1011</v>
      </c>
      <c r="H150" s="7">
        <v>45069</v>
      </c>
      <c r="I150" s="16" t="str">
        <f t="shared" si="8"/>
        <v>Tuesday</v>
      </c>
      <c r="J150" s="6" t="s">
        <v>13</v>
      </c>
      <c r="K150" s="6" t="s">
        <v>27</v>
      </c>
      <c r="L150" s="6" t="s">
        <v>330</v>
      </c>
      <c r="M150" s="16" t="str">
        <f t="shared" si="9"/>
        <v>low</v>
      </c>
    </row>
    <row r="151" spans="1:13" x14ac:dyDescent="0.25">
      <c r="A151" s="8" t="s">
        <v>350</v>
      </c>
      <c r="B151" s="9" t="s">
        <v>47</v>
      </c>
      <c r="C151" s="9" t="s">
        <v>44</v>
      </c>
      <c r="D151" s="9">
        <v>1</v>
      </c>
      <c r="E151" s="9">
        <v>315.64</v>
      </c>
      <c r="F151" s="9">
        <v>315.64</v>
      </c>
      <c r="G151">
        <f t="shared" si="7"/>
        <v>316</v>
      </c>
      <c r="H151" s="10">
        <v>45812</v>
      </c>
      <c r="I151" s="16" t="str">
        <f t="shared" si="8"/>
        <v>Wednesday</v>
      </c>
      <c r="J151" s="9" t="s">
        <v>48</v>
      </c>
      <c r="K151" s="9" t="s">
        <v>19</v>
      </c>
      <c r="L151" s="9" t="s">
        <v>351</v>
      </c>
      <c r="M151" s="16" t="str">
        <f t="shared" si="9"/>
        <v>low</v>
      </c>
    </row>
    <row r="152" spans="1:13" x14ac:dyDescent="0.25">
      <c r="A152" s="5" t="s">
        <v>352</v>
      </c>
      <c r="B152" s="6" t="s">
        <v>54</v>
      </c>
      <c r="C152" s="6" t="s">
        <v>55</v>
      </c>
      <c r="D152" s="6">
        <v>7</v>
      </c>
      <c r="E152" s="6">
        <v>27.5</v>
      </c>
      <c r="F152" s="6">
        <v>192.5</v>
      </c>
      <c r="G152">
        <f t="shared" si="7"/>
        <v>193</v>
      </c>
      <c r="H152" s="7">
        <v>44938</v>
      </c>
      <c r="I152" s="16" t="str">
        <f t="shared" si="8"/>
        <v>Thursday</v>
      </c>
      <c r="J152" s="6" t="s">
        <v>48</v>
      </c>
      <c r="K152" s="6" t="s">
        <v>27</v>
      </c>
      <c r="L152" s="6" t="s">
        <v>353</v>
      </c>
      <c r="M152" s="16" t="str">
        <f t="shared" si="9"/>
        <v>low</v>
      </c>
    </row>
    <row r="153" spans="1:13" x14ac:dyDescent="0.25">
      <c r="A153" s="8" t="s">
        <v>354</v>
      </c>
      <c r="B153" s="9" t="s">
        <v>54</v>
      </c>
      <c r="C153" s="9" t="s">
        <v>55</v>
      </c>
      <c r="D153" s="9">
        <v>8</v>
      </c>
      <c r="E153" s="9">
        <v>200.29</v>
      </c>
      <c r="F153" s="9">
        <v>1602.32</v>
      </c>
      <c r="G153">
        <f t="shared" si="7"/>
        <v>1603</v>
      </c>
      <c r="H153" s="10">
        <v>45334</v>
      </c>
      <c r="I153" s="16" t="str">
        <f t="shared" si="8"/>
        <v>Monday</v>
      </c>
      <c r="J153" s="9" t="s">
        <v>48</v>
      </c>
      <c r="K153" s="9" t="s">
        <v>14</v>
      </c>
      <c r="L153" s="9" t="s">
        <v>355</v>
      </c>
      <c r="M153" s="16" t="str">
        <f t="shared" si="9"/>
        <v>low</v>
      </c>
    </row>
    <row r="154" spans="1:13" x14ac:dyDescent="0.25">
      <c r="A154" s="5" t="s">
        <v>356</v>
      </c>
      <c r="B154" s="6" t="s">
        <v>73</v>
      </c>
      <c r="C154" s="6" t="s">
        <v>59</v>
      </c>
      <c r="D154" s="6">
        <v>5</v>
      </c>
      <c r="E154" s="6">
        <v>142.30000000000001</v>
      </c>
      <c r="F154" s="6">
        <v>711.5</v>
      </c>
      <c r="G154">
        <f t="shared" si="7"/>
        <v>712</v>
      </c>
      <c r="H154" s="7">
        <v>45274</v>
      </c>
      <c r="I154" s="16" t="str">
        <f t="shared" si="8"/>
        <v>Thursday</v>
      </c>
      <c r="J154" s="6" t="s">
        <v>48</v>
      </c>
      <c r="K154" s="6" t="s">
        <v>27</v>
      </c>
      <c r="L154" s="6" t="s">
        <v>357</v>
      </c>
      <c r="M154" s="16" t="str">
        <f t="shared" si="9"/>
        <v>low</v>
      </c>
    </row>
    <row r="155" spans="1:13" x14ac:dyDescent="0.25">
      <c r="A155" s="8" t="s">
        <v>358</v>
      </c>
      <c r="B155" s="9" t="s">
        <v>34</v>
      </c>
      <c r="C155" s="9" t="s">
        <v>23</v>
      </c>
      <c r="D155" s="9">
        <v>8</v>
      </c>
      <c r="E155" s="9">
        <v>179.91</v>
      </c>
      <c r="F155" s="9">
        <v>1439.28</v>
      </c>
      <c r="G155">
        <f t="shared" si="7"/>
        <v>1440</v>
      </c>
      <c r="H155" s="10">
        <v>45104</v>
      </c>
      <c r="I155" s="16" t="str">
        <f t="shared" si="8"/>
        <v>Tuesday</v>
      </c>
      <c r="J155" s="9" t="s">
        <v>48</v>
      </c>
      <c r="K155" s="9" t="s">
        <v>37</v>
      </c>
      <c r="L155" s="9" t="s">
        <v>359</v>
      </c>
      <c r="M155" s="16" t="str">
        <f t="shared" si="9"/>
        <v>low</v>
      </c>
    </row>
    <row r="156" spans="1:13" x14ac:dyDescent="0.25">
      <c r="A156" s="5" t="s">
        <v>360</v>
      </c>
      <c r="B156" s="6" t="s">
        <v>51</v>
      </c>
      <c r="C156" s="6" t="s">
        <v>44</v>
      </c>
      <c r="D156" s="6">
        <v>5</v>
      </c>
      <c r="E156" s="6">
        <v>487.33</v>
      </c>
      <c r="F156" s="6">
        <v>2436.65</v>
      </c>
      <c r="G156">
        <f t="shared" si="7"/>
        <v>2437</v>
      </c>
      <c r="H156" s="7">
        <v>45630</v>
      </c>
      <c r="I156" s="16" t="str">
        <f t="shared" si="8"/>
        <v>Wednesday</v>
      </c>
      <c r="J156" s="6" t="s">
        <v>31</v>
      </c>
      <c r="K156" s="6" t="s">
        <v>27</v>
      </c>
      <c r="L156" s="6" t="s">
        <v>361</v>
      </c>
      <c r="M156" s="16" t="str">
        <f t="shared" si="9"/>
        <v>high</v>
      </c>
    </row>
    <row r="157" spans="1:13" x14ac:dyDescent="0.25">
      <c r="A157" s="8" t="s">
        <v>362</v>
      </c>
      <c r="B157" s="9" t="s">
        <v>17</v>
      </c>
      <c r="C157" s="9" t="s">
        <v>12</v>
      </c>
      <c r="D157" s="9">
        <v>6</v>
      </c>
      <c r="E157" s="9">
        <v>21</v>
      </c>
      <c r="F157" s="9">
        <v>126</v>
      </c>
      <c r="G157">
        <f t="shared" si="7"/>
        <v>126</v>
      </c>
      <c r="H157" s="10">
        <v>45127</v>
      </c>
      <c r="I157" s="16" t="str">
        <f t="shared" si="8"/>
        <v>Thursday</v>
      </c>
      <c r="J157" s="9" t="s">
        <v>18</v>
      </c>
      <c r="K157" s="9" t="s">
        <v>37</v>
      </c>
      <c r="L157" s="9" t="s">
        <v>363</v>
      </c>
      <c r="M157" s="16" t="str">
        <f t="shared" si="9"/>
        <v>low</v>
      </c>
    </row>
    <row r="158" spans="1:13" x14ac:dyDescent="0.25">
      <c r="A158" s="5" t="s">
        <v>364</v>
      </c>
      <c r="B158" s="6" t="s">
        <v>190</v>
      </c>
      <c r="C158" s="6" t="s">
        <v>23</v>
      </c>
      <c r="D158" s="6">
        <v>4</v>
      </c>
      <c r="E158" s="6">
        <v>303.38</v>
      </c>
      <c r="F158" s="6">
        <v>1213.52</v>
      </c>
      <c r="G158">
        <f t="shared" si="7"/>
        <v>1214</v>
      </c>
      <c r="H158" s="7">
        <v>45678</v>
      </c>
      <c r="I158" s="16" t="str">
        <f t="shared" si="8"/>
        <v>Tuesday</v>
      </c>
      <c r="J158" s="6" t="s">
        <v>48</v>
      </c>
      <c r="K158" s="6" t="s">
        <v>37</v>
      </c>
      <c r="L158" s="6" t="s">
        <v>365</v>
      </c>
      <c r="M158" s="16" t="str">
        <f t="shared" si="9"/>
        <v>low</v>
      </c>
    </row>
    <row r="159" spans="1:13" x14ac:dyDescent="0.25">
      <c r="A159" s="8" t="s">
        <v>366</v>
      </c>
      <c r="B159" s="9" t="s">
        <v>22</v>
      </c>
      <c r="C159" s="9" t="s">
        <v>23</v>
      </c>
      <c r="D159" s="9">
        <v>3</v>
      </c>
      <c r="E159" s="9">
        <v>412.16</v>
      </c>
      <c r="F159" s="9">
        <v>1236.48</v>
      </c>
      <c r="G159">
        <f t="shared" si="7"/>
        <v>1237</v>
      </c>
      <c r="H159" s="10">
        <v>45520</v>
      </c>
      <c r="I159" s="16" t="str">
        <f t="shared" si="8"/>
        <v>Friday</v>
      </c>
      <c r="J159" s="9" t="s">
        <v>13</v>
      </c>
      <c r="K159" s="9" t="s">
        <v>19</v>
      </c>
      <c r="L159" s="9" t="s">
        <v>367</v>
      </c>
      <c r="M159" s="16" t="str">
        <f t="shared" si="9"/>
        <v>low</v>
      </c>
    </row>
    <row r="160" spans="1:13" x14ac:dyDescent="0.25">
      <c r="A160" s="5" t="s">
        <v>368</v>
      </c>
      <c r="B160" s="6" t="s">
        <v>73</v>
      </c>
      <c r="C160" s="6" t="s">
        <v>59</v>
      </c>
      <c r="D160" s="6">
        <v>5</v>
      </c>
      <c r="E160" s="6">
        <v>308.64</v>
      </c>
      <c r="F160" s="6">
        <v>1543.2</v>
      </c>
      <c r="G160">
        <f t="shared" si="7"/>
        <v>1544</v>
      </c>
      <c r="H160" s="7">
        <v>45376</v>
      </c>
      <c r="I160" s="16" t="str">
        <f t="shared" si="8"/>
        <v>Monday</v>
      </c>
      <c r="J160" s="6" t="s">
        <v>31</v>
      </c>
      <c r="K160" s="6" t="s">
        <v>37</v>
      </c>
      <c r="L160" s="6" t="s">
        <v>369</v>
      </c>
      <c r="M160" s="16" t="str">
        <f t="shared" si="9"/>
        <v>low</v>
      </c>
    </row>
    <row r="161" spans="1:13" x14ac:dyDescent="0.25">
      <c r="A161" s="8" t="s">
        <v>370</v>
      </c>
      <c r="B161" s="9" t="s">
        <v>159</v>
      </c>
      <c r="C161" s="9" t="s">
        <v>63</v>
      </c>
      <c r="D161" s="9">
        <v>8</v>
      </c>
      <c r="E161" s="9">
        <v>438.95</v>
      </c>
      <c r="F161" s="9">
        <v>3511.6</v>
      </c>
      <c r="G161">
        <f t="shared" si="7"/>
        <v>3512</v>
      </c>
      <c r="H161" s="10">
        <v>45177</v>
      </c>
      <c r="I161" s="16" t="str">
        <f t="shared" si="8"/>
        <v>Friday</v>
      </c>
      <c r="J161" s="9" t="s">
        <v>48</v>
      </c>
      <c r="K161" s="9" t="s">
        <v>27</v>
      </c>
      <c r="L161" s="9" t="s">
        <v>371</v>
      </c>
      <c r="M161" s="16" t="str">
        <f t="shared" si="9"/>
        <v>high</v>
      </c>
    </row>
    <row r="162" spans="1:13" x14ac:dyDescent="0.25">
      <c r="A162" s="5" t="s">
        <v>372</v>
      </c>
      <c r="B162" s="6" t="s">
        <v>164</v>
      </c>
      <c r="C162" s="6" t="s">
        <v>59</v>
      </c>
      <c r="D162" s="6">
        <v>7</v>
      </c>
      <c r="E162" s="6">
        <v>208.57</v>
      </c>
      <c r="F162" s="6">
        <v>1459.99</v>
      </c>
      <c r="G162">
        <f t="shared" si="7"/>
        <v>1460</v>
      </c>
      <c r="H162" s="7">
        <v>45300</v>
      </c>
      <c r="I162" s="16" t="str">
        <f t="shared" si="8"/>
        <v>Tuesday</v>
      </c>
      <c r="J162" s="6" t="s">
        <v>13</v>
      </c>
      <c r="K162" s="6" t="s">
        <v>14</v>
      </c>
      <c r="L162" s="6" t="s">
        <v>373</v>
      </c>
      <c r="M162" s="16" t="str">
        <f t="shared" si="9"/>
        <v>low</v>
      </c>
    </row>
    <row r="163" spans="1:13" x14ac:dyDescent="0.25">
      <c r="A163" s="8" t="s">
        <v>374</v>
      </c>
      <c r="B163" s="9" t="s">
        <v>87</v>
      </c>
      <c r="C163" s="9" t="s">
        <v>59</v>
      </c>
      <c r="D163" s="9">
        <v>1</v>
      </c>
      <c r="E163" s="9">
        <v>191.49</v>
      </c>
      <c r="F163" s="9">
        <v>191.49</v>
      </c>
      <c r="G163">
        <f t="shared" si="7"/>
        <v>192</v>
      </c>
      <c r="H163" s="10">
        <v>45208</v>
      </c>
      <c r="I163" s="16" t="str">
        <f t="shared" si="8"/>
        <v>Monday</v>
      </c>
      <c r="J163" s="9" t="s">
        <v>13</v>
      </c>
      <c r="K163" s="9" t="s">
        <v>27</v>
      </c>
      <c r="L163" s="9" t="s">
        <v>375</v>
      </c>
      <c r="M163" s="16" t="str">
        <f t="shared" si="9"/>
        <v>low</v>
      </c>
    </row>
    <row r="164" spans="1:13" x14ac:dyDescent="0.25">
      <c r="A164" s="5" t="s">
        <v>376</v>
      </c>
      <c r="B164" s="6" t="s">
        <v>84</v>
      </c>
      <c r="C164" s="6" t="s">
        <v>23</v>
      </c>
      <c r="D164" s="6">
        <v>9</v>
      </c>
      <c r="E164" s="6">
        <v>485.11</v>
      </c>
      <c r="F164" s="6">
        <v>4365.99</v>
      </c>
      <c r="G164">
        <f t="shared" si="7"/>
        <v>4366</v>
      </c>
      <c r="H164" s="7">
        <v>45721</v>
      </c>
      <c r="I164" s="16" t="str">
        <f t="shared" si="8"/>
        <v>Wednesday</v>
      </c>
      <c r="J164" s="6" t="s">
        <v>48</v>
      </c>
      <c r="K164" s="6" t="s">
        <v>19</v>
      </c>
      <c r="L164" s="6" t="s">
        <v>377</v>
      </c>
      <c r="M164" s="16" t="str">
        <f t="shared" si="9"/>
        <v>high</v>
      </c>
    </row>
    <row r="165" spans="1:13" x14ac:dyDescent="0.25">
      <c r="A165" s="8" t="s">
        <v>378</v>
      </c>
      <c r="B165" s="9" t="s">
        <v>164</v>
      </c>
      <c r="C165" s="9" t="s">
        <v>59</v>
      </c>
      <c r="D165" s="9">
        <v>1</v>
      </c>
      <c r="E165" s="9">
        <v>237</v>
      </c>
      <c r="F165" s="9">
        <v>237</v>
      </c>
      <c r="G165">
        <f t="shared" si="7"/>
        <v>237</v>
      </c>
      <c r="H165" s="10">
        <v>45025</v>
      </c>
      <c r="I165" s="16" t="str">
        <f t="shared" si="8"/>
        <v>Sunday</v>
      </c>
      <c r="J165" s="9" t="s">
        <v>18</v>
      </c>
      <c r="K165" s="9" t="s">
        <v>14</v>
      </c>
      <c r="L165" s="9" t="s">
        <v>379</v>
      </c>
      <c r="M165" s="16" t="str">
        <f t="shared" si="9"/>
        <v>low</v>
      </c>
    </row>
    <row r="166" spans="1:13" x14ac:dyDescent="0.25">
      <c r="A166" s="5" t="s">
        <v>380</v>
      </c>
      <c r="B166" s="6" t="s">
        <v>175</v>
      </c>
      <c r="C166" s="6" t="s">
        <v>12</v>
      </c>
      <c r="D166" s="6">
        <v>1</v>
      </c>
      <c r="E166" s="6">
        <v>11.77</v>
      </c>
      <c r="F166" s="6">
        <v>11.77</v>
      </c>
      <c r="G166">
        <f t="shared" si="7"/>
        <v>12</v>
      </c>
      <c r="H166" s="7">
        <v>45749</v>
      </c>
      <c r="I166" s="16" t="str">
        <f t="shared" si="8"/>
        <v>Wednesday</v>
      </c>
      <c r="J166" s="6" t="s">
        <v>48</v>
      </c>
      <c r="K166" s="6" t="s">
        <v>19</v>
      </c>
      <c r="L166" s="6" t="s">
        <v>381</v>
      </c>
      <c r="M166" s="16" t="str">
        <f t="shared" si="9"/>
        <v>low</v>
      </c>
    </row>
    <row r="167" spans="1:13" x14ac:dyDescent="0.25">
      <c r="A167" s="8" t="s">
        <v>382</v>
      </c>
      <c r="B167" s="9" t="s">
        <v>164</v>
      </c>
      <c r="C167" s="9" t="s">
        <v>59</v>
      </c>
      <c r="D167" s="9">
        <v>5</v>
      </c>
      <c r="E167" s="9">
        <v>499.86</v>
      </c>
      <c r="F167" s="9">
        <v>2499.3000000000002</v>
      </c>
      <c r="G167">
        <f t="shared" si="7"/>
        <v>2500</v>
      </c>
      <c r="H167" s="10">
        <v>45796</v>
      </c>
      <c r="I167" s="16" t="str">
        <f t="shared" si="8"/>
        <v>Monday</v>
      </c>
      <c r="J167" s="9" t="s">
        <v>18</v>
      </c>
      <c r="K167" s="9" t="s">
        <v>37</v>
      </c>
      <c r="L167" s="9" t="s">
        <v>383</v>
      </c>
      <c r="M167" s="16" t="str">
        <f t="shared" si="9"/>
        <v>high</v>
      </c>
    </row>
    <row r="168" spans="1:13" x14ac:dyDescent="0.25">
      <c r="A168" s="5" t="s">
        <v>384</v>
      </c>
      <c r="B168" s="6" t="s">
        <v>99</v>
      </c>
      <c r="C168" s="6" t="s">
        <v>55</v>
      </c>
      <c r="D168" s="6">
        <v>7</v>
      </c>
      <c r="E168" s="6">
        <v>385.65</v>
      </c>
      <c r="F168" s="6">
        <v>2699.55</v>
      </c>
      <c r="G168">
        <f t="shared" si="7"/>
        <v>2700</v>
      </c>
      <c r="H168" s="7">
        <v>45603</v>
      </c>
      <c r="I168" s="16" t="str">
        <f t="shared" si="8"/>
        <v>Thursday</v>
      </c>
      <c r="J168" s="6" t="s">
        <v>13</v>
      </c>
      <c r="K168" s="6" t="s">
        <v>27</v>
      </c>
      <c r="L168" s="6" t="s">
        <v>385</v>
      </c>
      <c r="M168" s="16" t="str">
        <f t="shared" si="9"/>
        <v>high</v>
      </c>
    </row>
    <row r="169" spans="1:13" x14ac:dyDescent="0.25">
      <c r="A169" s="8" t="s">
        <v>386</v>
      </c>
      <c r="B169" s="9" t="s">
        <v>78</v>
      </c>
      <c r="C169" s="9" t="s">
        <v>44</v>
      </c>
      <c r="D169" s="9">
        <v>3</v>
      </c>
      <c r="E169" s="9">
        <v>127.44</v>
      </c>
      <c r="F169" s="9">
        <v>382.32</v>
      </c>
      <c r="G169">
        <f t="shared" si="7"/>
        <v>383</v>
      </c>
      <c r="H169" s="10">
        <v>45004</v>
      </c>
      <c r="I169" s="16" t="str">
        <f t="shared" si="8"/>
        <v>Sunday</v>
      </c>
      <c r="J169" s="9" t="s">
        <v>48</v>
      </c>
      <c r="K169" s="9" t="s">
        <v>14</v>
      </c>
      <c r="L169" s="9" t="s">
        <v>387</v>
      </c>
      <c r="M169" s="16" t="str">
        <f t="shared" si="9"/>
        <v>low</v>
      </c>
    </row>
    <row r="170" spans="1:13" x14ac:dyDescent="0.25">
      <c r="A170" s="5" t="s">
        <v>388</v>
      </c>
      <c r="B170" s="6" t="s">
        <v>99</v>
      </c>
      <c r="C170" s="6" t="s">
        <v>55</v>
      </c>
      <c r="D170" s="6">
        <v>1</v>
      </c>
      <c r="E170" s="6">
        <v>477.26</v>
      </c>
      <c r="F170" s="6">
        <v>477.26</v>
      </c>
      <c r="G170">
        <f t="shared" si="7"/>
        <v>478</v>
      </c>
      <c r="H170" s="7">
        <v>45643</v>
      </c>
      <c r="I170" s="16" t="str">
        <f t="shared" si="8"/>
        <v>Tuesday</v>
      </c>
      <c r="J170" s="6" t="s">
        <v>13</v>
      </c>
      <c r="K170" s="6" t="s">
        <v>19</v>
      </c>
      <c r="L170" s="6" t="s">
        <v>389</v>
      </c>
      <c r="M170" s="16" t="str">
        <f t="shared" si="9"/>
        <v>low</v>
      </c>
    </row>
    <row r="171" spans="1:13" x14ac:dyDescent="0.25">
      <c r="A171" s="8" t="s">
        <v>390</v>
      </c>
      <c r="B171" s="9" t="s">
        <v>34</v>
      </c>
      <c r="C171" s="9" t="s">
        <v>23</v>
      </c>
      <c r="D171" s="9">
        <v>1</v>
      </c>
      <c r="E171" s="9">
        <v>337.49</v>
      </c>
      <c r="F171" s="9">
        <v>337.49</v>
      </c>
      <c r="G171">
        <f t="shared" si="7"/>
        <v>338</v>
      </c>
      <c r="H171" s="10">
        <v>45726</v>
      </c>
      <c r="I171" s="16" t="str">
        <f t="shared" si="8"/>
        <v>Monday</v>
      </c>
      <c r="J171" s="9" t="s">
        <v>18</v>
      </c>
      <c r="K171" s="9" t="s">
        <v>37</v>
      </c>
      <c r="L171" s="9" t="s">
        <v>391</v>
      </c>
      <c r="M171" s="16" t="str">
        <f t="shared" si="9"/>
        <v>low</v>
      </c>
    </row>
    <row r="172" spans="1:13" x14ac:dyDescent="0.25">
      <c r="A172" s="5" t="s">
        <v>392</v>
      </c>
      <c r="B172" s="6" t="s">
        <v>73</v>
      </c>
      <c r="C172" s="6" t="s">
        <v>59</v>
      </c>
      <c r="D172" s="6">
        <v>8</v>
      </c>
      <c r="E172" s="6">
        <v>15.98</v>
      </c>
      <c r="F172" s="6">
        <v>127.84</v>
      </c>
      <c r="G172">
        <f t="shared" si="7"/>
        <v>128</v>
      </c>
      <c r="H172" s="7">
        <v>45176</v>
      </c>
      <c r="I172" s="16" t="str">
        <f t="shared" si="8"/>
        <v>Thursday</v>
      </c>
      <c r="J172" s="6" t="s">
        <v>31</v>
      </c>
      <c r="K172" s="6" t="s">
        <v>27</v>
      </c>
      <c r="L172" s="6" t="s">
        <v>393</v>
      </c>
      <c r="M172" s="16" t="str">
        <f t="shared" si="9"/>
        <v>low</v>
      </c>
    </row>
    <row r="173" spans="1:13" x14ac:dyDescent="0.25">
      <c r="A173" s="8" t="s">
        <v>394</v>
      </c>
      <c r="B173" s="9" t="s">
        <v>54</v>
      </c>
      <c r="C173" s="9" t="s">
        <v>55</v>
      </c>
      <c r="D173" s="9">
        <v>6</v>
      </c>
      <c r="E173" s="9">
        <v>387.3</v>
      </c>
      <c r="F173" s="9">
        <v>2323.8000000000002</v>
      </c>
      <c r="G173">
        <f t="shared" si="7"/>
        <v>2324</v>
      </c>
      <c r="H173" s="10">
        <v>45817</v>
      </c>
      <c r="I173" s="16" t="str">
        <f t="shared" si="8"/>
        <v>Monday</v>
      </c>
      <c r="J173" s="9" t="s">
        <v>31</v>
      </c>
      <c r="K173" s="9" t="s">
        <v>27</v>
      </c>
      <c r="L173" s="9" t="s">
        <v>395</v>
      </c>
      <c r="M173" s="16" t="str">
        <f t="shared" si="9"/>
        <v>high</v>
      </c>
    </row>
    <row r="174" spans="1:13" x14ac:dyDescent="0.25">
      <c r="A174" s="5" t="s">
        <v>396</v>
      </c>
      <c r="B174" s="6" t="s">
        <v>110</v>
      </c>
      <c r="C174" s="6" t="s">
        <v>63</v>
      </c>
      <c r="D174" s="6">
        <v>1</v>
      </c>
      <c r="E174" s="6">
        <v>278.19</v>
      </c>
      <c r="F174" s="6">
        <v>278.19</v>
      </c>
      <c r="G174">
        <f t="shared" si="7"/>
        <v>279</v>
      </c>
      <c r="H174" s="7">
        <v>45315</v>
      </c>
      <c r="I174" s="16" t="str">
        <f t="shared" si="8"/>
        <v>Wednesday</v>
      </c>
      <c r="J174" s="6" t="s">
        <v>31</v>
      </c>
      <c r="K174" s="6" t="s">
        <v>37</v>
      </c>
      <c r="L174" s="6" t="s">
        <v>397</v>
      </c>
      <c r="M174" s="16" t="str">
        <f t="shared" si="9"/>
        <v>low</v>
      </c>
    </row>
    <row r="175" spans="1:13" x14ac:dyDescent="0.25">
      <c r="A175" s="8" t="s">
        <v>398</v>
      </c>
      <c r="B175" s="9" t="s">
        <v>11</v>
      </c>
      <c r="C175" s="9" t="s">
        <v>12</v>
      </c>
      <c r="D175" s="9">
        <v>9</v>
      </c>
      <c r="E175" s="9">
        <v>297.02999999999997</v>
      </c>
      <c r="F175" s="9">
        <v>2673.27</v>
      </c>
      <c r="G175">
        <f t="shared" si="7"/>
        <v>2674</v>
      </c>
      <c r="H175" s="10">
        <v>45693</v>
      </c>
      <c r="I175" s="16" t="str">
        <f t="shared" si="8"/>
        <v>Wednesday</v>
      </c>
      <c r="J175" s="9" t="s">
        <v>31</v>
      </c>
      <c r="K175" s="9" t="s">
        <v>37</v>
      </c>
      <c r="L175" s="9" t="s">
        <v>399</v>
      </c>
      <c r="M175" s="16" t="str">
        <f t="shared" si="9"/>
        <v>high</v>
      </c>
    </row>
    <row r="176" spans="1:13" x14ac:dyDescent="0.25">
      <c r="A176" s="5" t="s">
        <v>400</v>
      </c>
      <c r="B176" s="6" t="s">
        <v>11</v>
      </c>
      <c r="C176" s="6" t="s">
        <v>12</v>
      </c>
      <c r="D176" s="6">
        <v>7</v>
      </c>
      <c r="E176" s="6">
        <v>378.79</v>
      </c>
      <c r="F176" s="6">
        <v>2651.53</v>
      </c>
      <c r="G176">
        <f t="shared" si="7"/>
        <v>2652</v>
      </c>
      <c r="H176" s="7">
        <v>45779</v>
      </c>
      <c r="I176" s="16" t="str">
        <f t="shared" si="8"/>
        <v>Friday</v>
      </c>
      <c r="J176" s="6" t="s">
        <v>18</v>
      </c>
      <c r="K176" s="6" t="s">
        <v>37</v>
      </c>
      <c r="L176" s="6" t="s">
        <v>401</v>
      </c>
      <c r="M176" s="16" t="str">
        <f t="shared" si="9"/>
        <v>high</v>
      </c>
    </row>
    <row r="177" spans="1:13" x14ac:dyDescent="0.25">
      <c r="A177" s="8" t="s">
        <v>402</v>
      </c>
      <c r="B177" s="9" t="s">
        <v>159</v>
      </c>
      <c r="C177" s="9" t="s">
        <v>63</v>
      </c>
      <c r="D177" s="9">
        <v>3</v>
      </c>
      <c r="E177" s="9">
        <v>452.06</v>
      </c>
      <c r="F177" s="9">
        <v>1356.18</v>
      </c>
      <c r="G177">
        <f t="shared" si="7"/>
        <v>1357</v>
      </c>
      <c r="H177" s="10">
        <v>45630</v>
      </c>
      <c r="I177" s="16" t="str">
        <f t="shared" si="8"/>
        <v>Wednesday</v>
      </c>
      <c r="J177" s="9" t="s">
        <v>18</v>
      </c>
      <c r="K177" s="9" t="s">
        <v>19</v>
      </c>
      <c r="L177" s="9" t="s">
        <v>403</v>
      </c>
      <c r="M177" s="16" t="str">
        <f t="shared" si="9"/>
        <v>low</v>
      </c>
    </row>
    <row r="178" spans="1:13" x14ac:dyDescent="0.25">
      <c r="A178" s="5" t="s">
        <v>404</v>
      </c>
      <c r="B178" s="6" t="s">
        <v>250</v>
      </c>
      <c r="C178" s="6" t="s">
        <v>63</v>
      </c>
      <c r="D178" s="6">
        <v>6</v>
      </c>
      <c r="E178" s="6">
        <v>306</v>
      </c>
      <c r="F178" s="6">
        <v>1836</v>
      </c>
      <c r="G178">
        <f t="shared" si="7"/>
        <v>1836</v>
      </c>
      <c r="H178" s="7">
        <v>45776</v>
      </c>
      <c r="I178" s="16" t="str">
        <f t="shared" si="8"/>
        <v>Tuesday</v>
      </c>
      <c r="J178" s="6" t="s">
        <v>31</v>
      </c>
      <c r="K178" s="6" t="s">
        <v>27</v>
      </c>
      <c r="L178" s="6" t="s">
        <v>405</v>
      </c>
      <c r="M178" s="16" t="str">
        <f t="shared" si="9"/>
        <v>low</v>
      </c>
    </row>
    <row r="179" spans="1:13" x14ac:dyDescent="0.25">
      <c r="A179" s="8" t="s">
        <v>406</v>
      </c>
      <c r="B179" s="9" t="s">
        <v>231</v>
      </c>
      <c r="C179" s="9" t="s">
        <v>55</v>
      </c>
      <c r="D179" s="9">
        <v>3</v>
      </c>
      <c r="E179" s="9">
        <v>452.56</v>
      </c>
      <c r="F179" s="9">
        <v>1357.68</v>
      </c>
      <c r="G179">
        <f t="shared" si="7"/>
        <v>1358</v>
      </c>
      <c r="H179" s="10">
        <v>45234</v>
      </c>
      <c r="I179" s="16" t="str">
        <f t="shared" si="8"/>
        <v>Saturday</v>
      </c>
      <c r="J179" s="9" t="s">
        <v>31</v>
      </c>
      <c r="K179" s="9" t="s">
        <v>27</v>
      </c>
      <c r="L179" s="9" t="s">
        <v>407</v>
      </c>
      <c r="M179" s="16" t="str">
        <f t="shared" si="9"/>
        <v>low</v>
      </c>
    </row>
    <row r="180" spans="1:13" x14ac:dyDescent="0.25">
      <c r="A180" s="5" t="s">
        <v>408</v>
      </c>
      <c r="B180" s="6" t="s">
        <v>26</v>
      </c>
      <c r="C180" s="6" t="s">
        <v>23</v>
      </c>
      <c r="D180" s="6">
        <v>1</v>
      </c>
      <c r="E180" s="6">
        <v>392.91</v>
      </c>
      <c r="F180" s="6">
        <v>392.91</v>
      </c>
      <c r="G180">
        <f t="shared" si="7"/>
        <v>393</v>
      </c>
      <c r="H180" s="7">
        <v>45468</v>
      </c>
      <c r="I180" s="16" t="str">
        <f t="shared" si="8"/>
        <v>Tuesday</v>
      </c>
      <c r="J180" s="6" t="s">
        <v>31</v>
      </c>
      <c r="K180" s="6" t="s">
        <v>27</v>
      </c>
      <c r="L180" s="6" t="s">
        <v>409</v>
      </c>
      <c r="M180" s="16" t="str">
        <f t="shared" si="9"/>
        <v>low</v>
      </c>
    </row>
    <row r="181" spans="1:13" x14ac:dyDescent="0.25">
      <c r="A181" s="8" t="s">
        <v>410</v>
      </c>
      <c r="B181" s="9" t="s">
        <v>99</v>
      </c>
      <c r="C181" s="9" t="s">
        <v>55</v>
      </c>
      <c r="D181" s="9">
        <v>3</v>
      </c>
      <c r="E181" s="9">
        <v>350.33</v>
      </c>
      <c r="F181" s="9">
        <v>1050.99</v>
      </c>
      <c r="G181">
        <f t="shared" si="7"/>
        <v>1051</v>
      </c>
      <c r="H181" s="10">
        <v>45723</v>
      </c>
      <c r="I181" s="16" t="str">
        <f t="shared" si="8"/>
        <v>Friday</v>
      </c>
      <c r="J181" s="9" t="s">
        <v>13</v>
      </c>
      <c r="K181" s="9" t="s">
        <v>27</v>
      </c>
      <c r="L181" s="9" t="s">
        <v>411</v>
      </c>
      <c r="M181" s="16" t="str">
        <f t="shared" si="9"/>
        <v>low</v>
      </c>
    </row>
    <row r="182" spans="1:13" x14ac:dyDescent="0.25">
      <c r="A182" s="5" t="s">
        <v>412</v>
      </c>
      <c r="B182" s="6" t="s">
        <v>43</v>
      </c>
      <c r="C182" s="6" t="s">
        <v>44</v>
      </c>
      <c r="D182" s="6">
        <v>8</v>
      </c>
      <c r="E182" s="6">
        <v>421.84</v>
      </c>
      <c r="F182" s="6">
        <v>3374.72</v>
      </c>
      <c r="G182">
        <f t="shared" si="7"/>
        <v>3375</v>
      </c>
      <c r="H182" s="7">
        <v>45711</v>
      </c>
      <c r="I182" s="16" t="str">
        <f t="shared" si="8"/>
        <v>Sunday</v>
      </c>
      <c r="J182" s="6" t="s">
        <v>48</v>
      </c>
      <c r="K182" s="6" t="s">
        <v>14</v>
      </c>
      <c r="L182" s="6" t="s">
        <v>413</v>
      </c>
      <c r="M182" s="16" t="str">
        <f t="shared" si="9"/>
        <v>high</v>
      </c>
    </row>
    <row r="183" spans="1:13" x14ac:dyDescent="0.25">
      <c r="A183" s="8" t="s">
        <v>414</v>
      </c>
      <c r="B183" s="9" t="s">
        <v>140</v>
      </c>
      <c r="C183" s="9" t="s">
        <v>59</v>
      </c>
      <c r="D183" s="9">
        <v>4</v>
      </c>
      <c r="E183" s="9">
        <v>232.27</v>
      </c>
      <c r="F183" s="9">
        <v>929.08</v>
      </c>
      <c r="G183">
        <f t="shared" si="7"/>
        <v>930</v>
      </c>
      <c r="H183" s="10">
        <v>45472</v>
      </c>
      <c r="I183" s="16" t="str">
        <f t="shared" si="8"/>
        <v>Saturday</v>
      </c>
      <c r="J183" s="9" t="s">
        <v>48</v>
      </c>
      <c r="K183" s="9" t="s">
        <v>27</v>
      </c>
      <c r="L183" s="9" t="s">
        <v>415</v>
      </c>
      <c r="M183" s="16" t="str">
        <f t="shared" si="9"/>
        <v>low</v>
      </c>
    </row>
    <row r="184" spans="1:13" x14ac:dyDescent="0.25">
      <c r="A184" s="5" t="s">
        <v>416</v>
      </c>
      <c r="B184" s="6" t="s">
        <v>43</v>
      </c>
      <c r="C184" s="6" t="s">
        <v>44</v>
      </c>
      <c r="D184" s="6">
        <v>5</v>
      </c>
      <c r="E184" s="6">
        <v>176.97</v>
      </c>
      <c r="F184" s="6">
        <v>884.85</v>
      </c>
      <c r="G184">
        <f t="shared" si="7"/>
        <v>885</v>
      </c>
      <c r="H184" s="7">
        <v>45052</v>
      </c>
      <c r="I184" s="16" t="str">
        <f t="shared" si="8"/>
        <v>Saturday</v>
      </c>
      <c r="J184" s="6" t="s">
        <v>18</v>
      </c>
      <c r="K184" s="6" t="s">
        <v>19</v>
      </c>
      <c r="L184" s="6" t="s">
        <v>417</v>
      </c>
      <c r="M184" s="16" t="str">
        <f t="shared" si="9"/>
        <v>low</v>
      </c>
    </row>
    <row r="185" spans="1:13" x14ac:dyDescent="0.25">
      <c r="A185" s="8" t="s">
        <v>418</v>
      </c>
      <c r="B185" s="9" t="s">
        <v>34</v>
      </c>
      <c r="C185" s="9" t="s">
        <v>23</v>
      </c>
      <c r="D185" s="9">
        <v>3</v>
      </c>
      <c r="E185" s="9">
        <v>270.95</v>
      </c>
      <c r="F185" s="9">
        <v>812.85</v>
      </c>
      <c r="G185">
        <f t="shared" si="7"/>
        <v>813</v>
      </c>
      <c r="H185" s="10">
        <v>45589</v>
      </c>
      <c r="I185" s="16" t="str">
        <f t="shared" si="8"/>
        <v>Thursday</v>
      </c>
      <c r="J185" s="9" t="s">
        <v>48</v>
      </c>
      <c r="K185" s="9" t="s">
        <v>19</v>
      </c>
      <c r="L185" s="9" t="s">
        <v>419</v>
      </c>
      <c r="M185" s="16" t="str">
        <f t="shared" si="9"/>
        <v>low</v>
      </c>
    </row>
    <row r="186" spans="1:13" x14ac:dyDescent="0.25">
      <c r="A186" s="5" t="s">
        <v>420</v>
      </c>
      <c r="B186" s="6" t="s">
        <v>40</v>
      </c>
      <c r="C186" s="6" t="s">
        <v>12</v>
      </c>
      <c r="D186" s="6">
        <v>6</v>
      </c>
      <c r="E186" s="6">
        <v>350.35</v>
      </c>
      <c r="F186" s="6">
        <v>2102.1</v>
      </c>
      <c r="G186">
        <f t="shared" si="7"/>
        <v>2103</v>
      </c>
      <c r="H186" s="7">
        <v>45826</v>
      </c>
      <c r="I186" s="16" t="str">
        <f t="shared" si="8"/>
        <v>Wednesday</v>
      </c>
      <c r="J186" s="6" t="s">
        <v>13</v>
      </c>
      <c r="K186" s="6" t="s">
        <v>19</v>
      </c>
      <c r="L186" s="6" t="s">
        <v>421</v>
      </c>
      <c r="M186" s="16" t="str">
        <f t="shared" si="9"/>
        <v>high</v>
      </c>
    </row>
    <row r="187" spans="1:13" x14ac:dyDescent="0.25">
      <c r="A187" s="8" t="s">
        <v>422</v>
      </c>
      <c r="B187" s="9" t="s">
        <v>110</v>
      </c>
      <c r="C187" s="9" t="s">
        <v>63</v>
      </c>
      <c r="D187" s="9">
        <v>3</v>
      </c>
      <c r="E187" s="9">
        <v>437.79</v>
      </c>
      <c r="F187" s="9">
        <v>1313.37</v>
      </c>
      <c r="G187">
        <f t="shared" si="7"/>
        <v>1314</v>
      </c>
      <c r="H187" s="10">
        <v>45593</v>
      </c>
      <c r="I187" s="16" t="str">
        <f t="shared" si="8"/>
        <v>Monday</v>
      </c>
      <c r="J187" s="9" t="s">
        <v>48</v>
      </c>
      <c r="K187" s="9" t="s">
        <v>37</v>
      </c>
      <c r="L187" s="9" t="s">
        <v>423</v>
      </c>
      <c r="M187" s="16" t="str">
        <f t="shared" si="9"/>
        <v>low</v>
      </c>
    </row>
    <row r="188" spans="1:13" x14ac:dyDescent="0.25">
      <c r="A188" s="5" t="s">
        <v>424</v>
      </c>
      <c r="B188" s="6" t="s">
        <v>30</v>
      </c>
      <c r="C188" s="6" t="s">
        <v>12</v>
      </c>
      <c r="D188" s="6">
        <v>2</v>
      </c>
      <c r="E188" s="6">
        <v>302.95999999999998</v>
      </c>
      <c r="F188" s="6">
        <v>605.91999999999996</v>
      </c>
      <c r="G188">
        <f t="shared" si="7"/>
        <v>606</v>
      </c>
      <c r="H188" s="7">
        <v>44977</v>
      </c>
      <c r="I188" s="16" t="str">
        <f t="shared" si="8"/>
        <v>Monday</v>
      </c>
      <c r="J188" s="6" t="s">
        <v>18</v>
      </c>
      <c r="K188" s="6" t="s">
        <v>14</v>
      </c>
      <c r="L188" s="6" t="s">
        <v>425</v>
      </c>
      <c r="M188" s="16" t="str">
        <f t="shared" si="9"/>
        <v>low</v>
      </c>
    </row>
    <row r="189" spans="1:13" x14ac:dyDescent="0.25">
      <c r="A189" s="8" t="s">
        <v>426</v>
      </c>
      <c r="B189" s="9" t="s">
        <v>78</v>
      </c>
      <c r="C189" s="9" t="s">
        <v>44</v>
      </c>
      <c r="D189" s="9">
        <v>5</v>
      </c>
      <c r="E189" s="9">
        <v>88.62</v>
      </c>
      <c r="F189" s="9">
        <v>443.1</v>
      </c>
      <c r="G189">
        <f t="shared" si="7"/>
        <v>444</v>
      </c>
      <c r="H189" s="10">
        <v>45530</v>
      </c>
      <c r="I189" s="16" t="str">
        <f t="shared" si="8"/>
        <v>Monday</v>
      </c>
      <c r="J189" s="9" t="s">
        <v>48</v>
      </c>
      <c r="K189" s="9" t="s">
        <v>27</v>
      </c>
      <c r="L189" s="9" t="s">
        <v>234</v>
      </c>
      <c r="M189" s="16" t="str">
        <f t="shared" si="9"/>
        <v>low</v>
      </c>
    </row>
    <row r="190" spans="1:13" x14ac:dyDescent="0.25">
      <c r="A190" s="5" t="s">
        <v>427</v>
      </c>
      <c r="B190" s="6" t="s">
        <v>140</v>
      </c>
      <c r="C190" s="6" t="s">
        <v>59</v>
      </c>
      <c r="D190" s="6">
        <v>6</v>
      </c>
      <c r="E190" s="6">
        <v>48.91</v>
      </c>
      <c r="F190" s="6">
        <v>293.45999999999998</v>
      </c>
      <c r="G190">
        <f t="shared" si="7"/>
        <v>294</v>
      </c>
      <c r="H190" s="7">
        <v>45439</v>
      </c>
      <c r="I190" s="16" t="str">
        <f t="shared" si="8"/>
        <v>Monday</v>
      </c>
      <c r="J190" s="6" t="s">
        <v>18</v>
      </c>
      <c r="K190" s="6" t="s">
        <v>37</v>
      </c>
      <c r="L190" s="6" t="s">
        <v>428</v>
      </c>
      <c r="M190" s="16" t="str">
        <f t="shared" si="9"/>
        <v>low</v>
      </c>
    </row>
    <row r="191" spans="1:13" x14ac:dyDescent="0.25">
      <c r="A191" s="8" t="s">
        <v>429</v>
      </c>
      <c r="B191" s="9" t="s">
        <v>58</v>
      </c>
      <c r="C191" s="9" t="s">
        <v>59</v>
      </c>
      <c r="D191" s="9">
        <v>2</v>
      </c>
      <c r="E191" s="9">
        <v>68.73</v>
      </c>
      <c r="F191" s="9">
        <v>137.46</v>
      </c>
      <c r="G191">
        <f t="shared" si="7"/>
        <v>138</v>
      </c>
      <c r="H191" s="10">
        <v>45656</v>
      </c>
      <c r="I191" s="16" t="str">
        <f t="shared" si="8"/>
        <v>Monday</v>
      </c>
      <c r="J191" s="9" t="s">
        <v>48</v>
      </c>
      <c r="K191" s="9" t="s">
        <v>14</v>
      </c>
      <c r="L191" s="9" t="s">
        <v>430</v>
      </c>
      <c r="M191" s="16" t="str">
        <f t="shared" si="9"/>
        <v>low</v>
      </c>
    </row>
    <row r="192" spans="1:13" x14ac:dyDescent="0.25">
      <c r="A192" s="5" t="s">
        <v>431</v>
      </c>
      <c r="B192" s="6" t="s">
        <v>62</v>
      </c>
      <c r="C192" s="6" t="s">
        <v>63</v>
      </c>
      <c r="D192" s="6">
        <v>9</v>
      </c>
      <c r="E192" s="6">
        <v>243.17</v>
      </c>
      <c r="F192" s="6">
        <v>2188.5300000000002</v>
      </c>
      <c r="G192">
        <f t="shared" si="7"/>
        <v>2189</v>
      </c>
      <c r="H192" s="7">
        <v>45140</v>
      </c>
      <c r="I192" s="16" t="str">
        <f t="shared" si="8"/>
        <v>Wednesday</v>
      </c>
      <c r="J192" s="6" t="s">
        <v>31</v>
      </c>
      <c r="K192" s="6" t="s">
        <v>37</v>
      </c>
      <c r="L192" s="6" t="s">
        <v>432</v>
      </c>
      <c r="M192" s="16" t="str">
        <f t="shared" si="9"/>
        <v>high</v>
      </c>
    </row>
    <row r="193" spans="1:13" x14ac:dyDescent="0.25">
      <c r="A193" s="8" t="s">
        <v>433</v>
      </c>
      <c r="B193" s="9" t="s">
        <v>54</v>
      </c>
      <c r="C193" s="9" t="s">
        <v>55</v>
      </c>
      <c r="D193" s="9">
        <v>1</v>
      </c>
      <c r="E193" s="9">
        <v>142.05000000000001</v>
      </c>
      <c r="F193" s="9">
        <v>142.05000000000001</v>
      </c>
      <c r="G193">
        <f t="shared" si="7"/>
        <v>143</v>
      </c>
      <c r="H193" s="10">
        <v>45183</v>
      </c>
      <c r="I193" s="16" t="str">
        <f t="shared" si="8"/>
        <v>Thursday</v>
      </c>
      <c r="J193" s="9" t="s">
        <v>31</v>
      </c>
      <c r="K193" s="9" t="s">
        <v>27</v>
      </c>
      <c r="L193" s="9" t="s">
        <v>434</v>
      </c>
      <c r="M193" s="16" t="str">
        <f t="shared" si="9"/>
        <v>low</v>
      </c>
    </row>
    <row r="194" spans="1:13" x14ac:dyDescent="0.25">
      <c r="A194" s="5" t="s">
        <v>435</v>
      </c>
      <c r="B194" s="6" t="s">
        <v>164</v>
      </c>
      <c r="C194" s="6" t="s">
        <v>59</v>
      </c>
      <c r="D194" s="6">
        <v>4</v>
      </c>
      <c r="E194" s="6">
        <v>108.63</v>
      </c>
      <c r="F194" s="6">
        <v>434.52</v>
      </c>
      <c r="G194">
        <f t="shared" ref="G194:G257" si="10">ROUNDUP(F194,0)</f>
        <v>435</v>
      </c>
      <c r="H194" s="7">
        <v>45565</v>
      </c>
      <c r="I194" s="16" t="str">
        <f t="shared" ref="I194:I257" si="11">TEXT(H194,"dddd")</f>
        <v>Monday</v>
      </c>
      <c r="J194" s="6" t="s">
        <v>13</v>
      </c>
      <c r="K194" s="6" t="s">
        <v>27</v>
      </c>
      <c r="L194" s="6" t="s">
        <v>436</v>
      </c>
      <c r="M194" s="16" t="str">
        <f t="shared" ref="M194:M257" si="12">IF(G194&gt;2000,"high","low")</f>
        <v>low</v>
      </c>
    </row>
    <row r="195" spans="1:13" x14ac:dyDescent="0.25">
      <c r="A195" s="8" t="s">
        <v>437</v>
      </c>
      <c r="B195" s="9" t="s">
        <v>231</v>
      </c>
      <c r="C195" s="9" t="s">
        <v>55</v>
      </c>
      <c r="D195" s="9">
        <v>6</v>
      </c>
      <c r="E195" s="9">
        <v>121.88</v>
      </c>
      <c r="F195" s="9">
        <v>731.28</v>
      </c>
      <c r="G195">
        <f t="shared" si="10"/>
        <v>732</v>
      </c>
      <c r="H195" s="10">
        <v>44954</v>
      </c>
      <c r="I195" s="16" t="str">
        <f t="shared" si="11"/>
        <v>Saturday</v>
      </c>
      <c r="J195" s="9" t="s">
        <v>31</v>
      </c>
      <c r="K195" s="9" t="s">
        <v>14</v>
      </c>
      <c r="L195" s="9" t="s">
        <v>438</v>
      </c>
      <c r="M195" s="16" t="str">
        <f t="shared" si="12"/>
        <v>low</v>
      </c>
    </row>
    <row r="196" spans="1:13" x14ac:dyDescent="0.25">
      <c r="A196" s="5" t="s">
        <v>439</v>
      </c>
      <c r="B196" s="6" t="s">
        <v>73</v>
      </c>
      <c r="C196" s="6" t="s">
        <v>59</v>
      </c>
      <c r="D196" s="6">
        <v>8</v>
      </c>
      <c r="E196" s="6">
        <v>361.66</v>
      </c>
      <c r="F196" s="6">
        <v>2893.28</v>
      </c>
      <c r="G196">
        <f t="shared" si="10"/>
        <v>2894</v>
      </c>
      <c r="H196" s="7">
        <v>45592</v>
      </c>
      <c r="I196" s="16" t="str">
        <f t="shared" si="11"/>
        <v>Sunday</v>
      </c>
      <c r="J196" s="6" t="s">
        <v>31</v>
      </c>
      <c r="K196" s="6" t="s">
        <v>19</v>
      </c>
      <c r="L196" s="6" t="s">
        <v>440</v>
      </c>
      <c r="M196" s="16" t="str">
        <f t="shared" si="12"/>
        <v>high</v>
      </c>
    </row>
    <row r="197" spans="1:13" x14ac:dyDescent="0.25">
      <c r="A197" s="8" t="s">
        <v>441</v>
      </c>
      <c r="B197" s="9" t="s">
        <v>51</v>
      </c>
      <c r="C197" s="9" t="s">
        <v>44</v>
      </c>
      <c r="D197" s="9">
        <v>8</v>
      </c>
      <c r="E197" s="9">
        <v>70.89</v>
      </c>
      <c r="F197" s="9">
        <v>567.12</v>
      </c>
      <c r="G197">
        <f t="shared" si="10"/>
        <v>568</v>
      </c>
      <c r="H197" s="10">
        <v>44929</v>
      </c>
      <c r="I197" s="16" t="str">
        <f t="shared" si="11"/>
        <v>Tuesday</v>
      </c>
      <c r="J197" s="9" t="s">
        <v>31</v>
      </c>
      <c r="K197" s="9" t="s">
        <v>19</v>
      </c>
      <c r="L197" s="9" t="s">
        <v>442</v>
      </c>
      <c r="M197" s="16" t="str">
        <f t="shared" si="12"/>
        <v>low</v>
      </c>
    </row>
    <row r="198" spans="1:13" x14ac:dyDescent="0.25">
      <c r="A198" s="5" t="s">
        <v>443</v>
      </c>
      <c r="B198" s="6" t="s">
        <v>51</v>
      </c>
      <c r="C198" s="6" t="s">
        <v>44</v>
      </c>
      <c r="D198" s="6">
        <v>7</v>
      </c>
      <c r="E198" s="6">
        <v>258.27999999999997</v>
      </c>
      <c r="F198" s="6">
        <v>1807.96</v>
      </c>
      <c r="G198">
        <f t="shared" si="10"/>
        <v>1808</v>
      </c>
      <c r="H198" s="7">
        <v>45677</v>
      </c>
      <c r="I198" s="16" t="str">
        <f t="shared" si="11"/>
        <v>Monday</v>
      </c>
      <c r="J198" s="6" t="s">
        <v>13</v>
      </c>
      <c r="K198" s="6" t="s">
        <v>14</v>
      </c>
      <c r="L198" s="6" t="s">
        <v>444</v>
      </c>
      <c r="M198" s="16" t="str">
        <f t="shared" si="12"/>
        <v>low</v>
      </c>
    </row>
    <row r="199" spans="1:13" x14ac:dyDescent="0.25">
      <c r="A199" s="8" t="s">
        <v>445</v>
      </c>
      <c r="B199" s="9" t="s">
        <v>54</v>
      </c>
      <c r="C199" s="9" t="s">
        <v>55</v>
      </c>
      <c r="D199" s="9">
        <v>2</v>
      </c>
      <c r="E199" s="9">
        <v>226.47</v>
      </c>
      <c r="F199" s="9">
        <v>452.94</v>
      </c>
      <c r="G199">
        <f t="shared" si="10"/>
        <v>453</v>
      </c>
      <c r="H199" s="10">
        <v>45665</v>
      </c>
      <c r="I199" s="16" t="str">
        <f t="shared" si="11"/>
        <v>Wednesday</v>
      </c>
      <c r="J199" s="9" t="s">
        <v>48</v>
      </c>
      <c r="K199" s="9" t="s">
        <v>14</v>
      </c>
      <c r="L199" s="9" t="s">
        <v>446</v>
      </c>
      <c r="M199" s="16" t="str">
        <f t="shared" si="12"/>
        <v>low</v>
      </c>
    </row>
    <row r="200" spans="1:13" x14ac:dyDescent="0.25">
      <c r="A200" s="5" t="s">
        <v>447</v>
      </c>
      <c r="B200" s="6" t="s">
        <v>26</v>
      </c>
      <c r="C200" s="6" t="s">
        <v>23</v>
      </c>
      <c r="D200" s="6">
        <v>9</v>
      </c>
      <c r="E200" s="6">
        <v>370.02</v>
      </c>
      <c r="F200" s="6">
        <v>3330.18</v>
      </c>
      <c r="G200">
        <f t="shared" si="10"/>
        <v>3331</v>
      </c>
      <c r="H200" s="7">
        <v>44954</v>
      </c>
      <c r="I200" s="16" t="str">
        <f t="shared" si="11"/>
        <v>Saturday</v>
      </c>
      <c r="J200" s="6" t="s">
        <v>31</v>
      </c>
      <c r="K200" s="6" t="s">
        <v>14</v>
      </c>
      <c r="L200" s="6" t="s">
        <v>448</v>
      </c>
      <c r="M200" s="16" t="str">
        <f t="shared" si="12"/>
        <v>high</v>
      </c>
    </row>
    <row r="201" spans="1:13" x14ac:dyDescent="0.25">
      <c r="A201" s="8" t="s">
        <v>449</v>
      </c>
      <c r="B201" s="9" t="s">
        <v>47</v>
      </c>
      <c r="C201" s="9" t="s">
        <v>44</v>
      </c>
      <c r="D201" s="9">
        <v>7</v>
      </c>
      <c r="E201" s="9">
        <v>164.43</v>
      </c>
      <c r="F201" s="9">
        <v>1151.01</v>
      </c>
      <c r="G201">
        <f t="shared" si="10"/>
        <v>1152</v>
      </c>
      <c r="H201" s="10">
        <v>45157</v>
      </c>
      <c r="I201" s="16" t="str">
        <f t="shared" si="11"/>
        <v>Saturday</v>
      </c>
      <c r="J201" s="9" t="s">
        <v>31</v>
      </c>
      <c r="K201" s="9" t="s">
        <v>19</v>
      </c>
      <c r="L201" s="9" t="s">
        <v>450</v>
      </c>
      <c r="M201" s="16" t="str">
        <f t="shared" si="12"/>
        <v>low</v>
      </c>
    </row>
    <row r="202" spans="1:13" x14ac:dyDescent="0.25">
      <c r="A202" s="5" t="s">
        <v>451</v>
      </c>
      <c r="B202" s="6" t="s">
        <v>250</v>
      </c>
      <c r="C202" s="6" t="s">
        <v>63</v>
      </c>
      <c r="D202" s="6">
        <v>9</v>
      </c>
      <c r="E202" s="6">
        <v>445.81</v>
      </c>
      <c r="F202" s="6">
        <v>4012.29</v>
      </c>
      <c r="G202">
        <f t="shared" si="10"/>
        <v>4013</v>
      </c>
      <c r="H202" s="7">
        <v>45138</v>
      </c>
      <c r="I202" s="16" t="str">
        <f t="shared" si="11"/>
        <v>Monday</v>
      </c>
      <c r="J202" s="6" t="s">
        <v>13</v>
      </c>
      <c r="K202" s="6" t="s">
        <v>14</v>
      </c>
      <c r="L202" s="6" t="s">
        <v>452</v>
      </c>
      <c r="M202" s="16" t="str">
        <f t="shared" si="12"/>
        <v>high</v>
      </c>
    </row>
    <row r="203" spans="1:13" x14ac:dyDescent="0.25">
      <c r="A203" s="8" t="s">
        <v>453</v>
      </c>
      <c r="B203" s="9" t="s">
        <v>34</v>
      </c>
      <c r="C203" s="9" t="s">
        <v>23</v>
      </c>
      <c r="D203" s="9">
        <v>4</v>
      </c>
      <c r="E203" s="9">
        <v>180.78</v>
      </c>
      <c r="F203" s="9">
        <v>723.12</v>
      </c>
      <c r="G203">
        <f t="shared" si="10"/>
        <v>724</v>
      </c>
      <c r="H203" s="10">
        <v>45159</v>
      </c>
      <c r="I203" s="16" t="str">
        <f t="shared" si="11"/>
        <v>Monday</v>
      </c>
      <c r="J203" s="9" t="s">
        <v>18</v>
      </c>
      <c r="K203" s="9" t="s">
        <v>14</v>
      </c>
      <c r="L203" s="9" t="s">
        <v>454</v>
      </c>
      <c r="M203" s="16" t="str">
        <f t="shared" si="12"/>
        <v>low</v>
      </c>
    </row>
    <row r="204" spans="1:13" x14ac:dyDescent="0.25">
      <c r="A204" s="5" t="s">
        <v>455</v>
      </c>
      <c r="B204" s="6" t="s">
        <v>68</v>
      </c>
      <c r="C204" s="6" t="s">
        <v>63</v>
      </c>
      <c r="D204" s="6">
        <v>6</v>
      </c>
      <c r="E204" s="6">
        <v>295.49</v>
      </c>
      <c r="F204" s="6">
        <v>1772.94</v>
      </c>
      <c r="G204">
        <f t="shared" si="10"/>
        <v>1773</v>
      </c>
      <c r="H204" s="7">
        <v>45702</v>
      </c>
      <c r="I204" s="16" t="str">
        <f t="shared" si="11"/>
        <v>Friday</v>
      </c>
      <c r="J204" s="6" t="s">
        <v>13</v>
      </c>
      <c r="K204" s="6" t="s">
        <v>14</v>
      </c>
      <c r="L204" s="6" t="s">
        <v>456</v>
      </c>
      <c r="M204" s="16" t="str">
        <f t="shared" si="12"/>
        <v>low</v>
      </c>
    </row>
    <row r="205" spans="1:13" x14ac:dyDescent="0.25">
      <c r="A205" s="8" t="s">
        <v>457</v>
      </c>
      <c r="B205" s="9" t="s">
        <v>231</v>
      </c>
      <c r="C205" s="9" t="s">
        <v>55</v>
      </c>
      <c r="D205" s="9">
        <v>3</v>
      </c>
      <c r="E205" s="9">
        <v>192.49</v>
      </c>
      <c r="F205" s="9">
        <v>577.47</v>
      </c>
      <c r="G205">
        <f t="shared" si="10"/>
        <v>578</v>
      </c>
      <c r="H205" s="10">
        <v>45539</v>
      </c>
      <c r="I205" s="16" t="str">
        <f t="shared" si="11"/>
        <v>Wednesday</v>
      </c>
      <c r="J205" s="9" t="s">
        <v>31</v>
      </c>
      <c r="K205" s="9" t="s">
        <v>27</v>
      </c>
      <c r="L205" s="9" t="s">
        <v>458</v>
      </c>
      <c r="M205" s="16" t="str">
        <f t="shared" si="12"/>
        <v>low</v>
      </c>
    </row>
    <row r="206" spans="1:13" x14ac:dyDescent="0.25">
      <c r="A206" s="5" t="s">
        <v>459</v>
      </c>
      <c r="B206" s="6" t="s">
        <v>190</v>
      </c>
      <c r="C206" s="6" t="s">
        <v>23</v>
      </c>
      <c r="D206" s="6">
        <v>2</v>
      </c>
      <c r="E206" s="6">
        <v>125.95</v>
      </c>
      <c r="F206" s="6">
        <v>251.9</v>
      </c>
      <c r="G206">
        <f t="shared" si="10"/>
        <v>252</v>
      </c>
      <c r="H206" s="7">
        <v>45241</v>
      </c>
      <c r="I206" s="16" t="str">
        <f t="shared" si="11"/>
        <v>Saturday</v>
      </c>
      <c r="J206" s="6" t="s">
        <v>31</v>
      </c>
      <c r="K206" s="6" t="s">
        <v>14</v>
      </c>
      <c r="L206" s="6" t="s">
        <v>238</v>
      </c>
      <c r="M206" s="16" t="str">
        <f t="shared" si="12"/>
        <v>low</v>
      </c>
    </row>
    <row r="207" spans="1:13" x14ac:dyDescent="0.25">
      <c r="A207" s="8" t="s">
        <v>460</v>
      </c>
      <c r="B207" s="9" t="s">
        <v>99</v>
      </c>
      <c r="C207" s="9" t="s">
        <v>55</v>
      </c>
      <c r="D207" s="9">
        <v>6</v>
      </c>
      <c r="E207" s="9">
        <v>304.86</v>
      </c>
      <c r="F207" s="9">
        <v>1829.16</v>
      </c>
      <c r="G207">
        <f t="shared" si="10"/>
        <v>1830</v>
      </c>
      <c r="H207" s="10">
        <v>45215</v>
      </c>
      <c r="I207" s="16" t="str">
        <f t="shared" si="11"/>
        <v>Monday</v>
      </c>
      <c r="J207" s="9" t="s">
        <v>13</v>
      </c>
      <c r="K207" s="9" t="s">
        <v>37</v>
      </c>
      <c r="L207" s="9" t="s">
        <v>383</v>
      </c>
      <c r="M207" s="16" t="str">
        <f t="shared" si="12"/>
        <v>low</v>
      </c>
    </row>
    <row r="208" spans="1:13" x14ac:dyDescent="0.25">
      <c r="A208" s="5" t="s">
        <v>461</v>
      </c>
      <c r="B208" s="6" t="s">
        <v>99</v>
      </c>
      <c r="C208" s="6" t="s">
        <v>55</v>
      </c>
      <c r="D208" s="6">
        <v>6</v>
      </c>
      <c r="E208" s="6">
        <v>116.54</v>
      </c>
      <c r="F208" s="6">
        <v>699.24</v>
      </c>
      <c r="G208">
        <f t="shared" si="10"/>
        <v>700</v>
      </c>
      <c r="H208" s="7">
        <v>45508</v>
      </c>
      <c r="I208" s="16" t="str">
        <f t="shared" si="11"/>
        <v>Sunday</v>
      </c>
      <c r="J208" s="6" t="s">
        <v>31</v>
      </c>
      <c r="K208" s="6" t="s">
        <v>19</v>
      </c>
      <c r="L208" s="6" t="s">
        <v>462</v>
      </c>
      <c r="M208" s="16" t="str">
        <f t="shared" si="12"/>
        <v>low</v>
      </c>
    </row>
    <row r="209" spans="1:13" x14ac:dyDescent="0.25">
      <c r="A209" s="8" t="s">
        <v>463</v>
      </c>
      <c r="B209" s="9" t="s">
        <v>34</v>
      </c>
      <c r="C209" s="9" t="s">
        <v>23</v>
      </c>
      <c r="D209" s="9">
        <v>4</v>
      </c>
      <c r="E209" s="9">
        <v>426.15</v>
      </c>
      <c r="F209" s="9">
        <v>1704.6</v>
      </c>
      <c r="G209">
        <f t="shared" si="10"/>
        <v>1705</v>
      </c>
      <c r="H209" s="10">
        <v>45372</v>
      </c>
      <c r="I209" s="16" t="str">
        <f t="shared" si="11"/>
        <v>Thursday</v>
      </c>
      <c r="J209" s="9" t="s">
        <v>48</v>
      </c>
      <c r="K209" s="9" t="s">
        <v>19</v>
      </c>
      <c r="L209" s="9" t="s">
        <v>464</v>
      </c>
      <c r="M209" s="16" t="str">
        <f t="shared" si="12"/>
        <v>low</v>
      </c>
    </row>
    <row r="210" spans="1:13" x14ac:dyDescent="0.25">
      <c r="A210" s="5" t="s">
        <v>465</v>
      </c>
      <c r="B210" s="6" t="s">
        <v>62</v>
      </c>
      <c r="C210" s="6" t="s">
        <v>63</v>
      </c>
      <c r="D210" s="6">
        <v>7</v>
      </c>
      <c r="E210" s="6">
        <v>421.95</v>
      </c>
      <c r="F210" s="6">
        <v>2953.65</v>
      </c>
      <c r="G210">
        <f t="shared" si="10"/>
        <v>2954</v>
      </c>
      <c r="H210" s="7">
        <v>45825</v>
      </c>
      <c r="I210" s="16" t="str">
        <f t="shared" si="11"/>
        <v>Tuesday</v>
      </c>
      <c r="J210" s="6" t="s">
        <v>31</v>
      </c>
      <c r="K210" s="6" t="s">
        <v>27</v>
      </c>
      <c r="L210" s="6" t="s">
        <v>466</v>
      </c>
      <c r="M210" s="16" t="str">
        <f t="shared" si="12"/>
        <v>high</v>
      </c>
    </row>
    <row r="211" spans="1:13" x14ac:dyDescent="0.25">
      <c r="A211" s="8" t="s">
        <v>467</v>
      </c>
      <c r="B211" s="9" t="s">
        <v>81</v>
      </c>
      <c r="C211" s="9" t="s">
        <v>55</v>
      </c>
      <c r="D211" s="9">
        <v>8</v>
      </c>
      <c r="E211" s="9">
        <v>350</v>
      </c>
      <c r="F211" s="9">
        <v>2800</v>
      </c>
      <c r="G211">
        <f t="shared" si="10"/>
        <v>2800</v>
      </c>
      <c r="H211" s="10">
        <v>45846</v>
      </c>
      <c r="I211" s="16" t="str">
        <f t="shared" si="11"/>
        <v>Tuesday</v>
      </c>
      <c r="J211" s="9" t="s">
        <v>31</v>
      </c>
      <c r="K211" s="9" t="s">
        <v>27</v>
      </c>
      <c r="L211" s="9" t="s">
        <v>468</v>
      </c>
      <c r="M211" s="16" t="str">
        <f t="shared" si="12"/>
        <v>high</v>
      </c>
    </row>
    <row r="212" spans="1:13" x14ac:dyDescent="0.25">
      <c r="A212" s="5" t="s">
        <v>469</v>
      </c>
      <c r="B212" s="6" t="s">
        <v>43</v>
      </c>
      <c r="C212" s="6" t="s">
        <v>44</v>
      </c>
      <c r="D212" s="6">
        <v>6</v>
      </c>
      <c r="E212" s="6">
        <v>201.94</v>
      </c>
      <c r="F212" s="6">
        <v>1211.6400000000001</v>
      </c>
      <c r="G212">
        <f t="shared" si="10"/>
        <v>1212</v>
      </c>
      <c r="H212" s="7">
        <v>45658</v>
      </c>
      <c r="I212" s="16" t="str">
        <f t="shared" si="11"/>
        <v>Wednesday</v>
      </c>
      <c r="J212" s="6" t="s">
        <v>18</v>
      </c>
      <c r="K212" s="6" t="s">
        <v>14</v>
      </c>
      <c r="L212" s="6" t="s">
        <v>470</v>
      </c>
      <c r="M212" s="16" t="str">
        <f t="shared" si="12"/>
        <v>low</v>
      </c>
    </row>
    <row r="213" spans="1:13" x14ac:dyDescent="0.25">
      <c r="A213" s="8" t="s">
        <v>471</v>
      </c>
      <c r="B213" s="9" t="s">
        <v>164</v>
      </c>
      <c r="C213" s="9" t="s">
        <v>59</v>
      </c>
      <c r="D213" s="9">
        <v>6</v>
      </c>
      <c r="E213" s="9">
        <v>487.66</v>
      </c>
      <c r="F213" s="9">
        <v>2925.96</v>
      </c>
      <c r="G213">
        <f t="shared" si="10"/>
        <v>2926</v>
      </c>
      <c r="H213" s="10">
        <v>45532</v>
      </c>
      <c r="I213" s="16" t="str">
        <f t="shared" si="11"/>
        <v>Wednesday</v>
      </c>
      <c r="J213" s="9" t="s">
        <v>48</v>
      </c>
      <c r="K213" s="9" t="s">
        <v>27</v>
      </c>
      <c r="L213" s="9" t="s">
        <v>472</v>
      </c>
      <c r="M213" s="16" t="str">
        <f t="shared" si="12"/>
        <v>high</v>
      </c>
    </row>
    <row r="214" spans="1:13" x14ac:dyDescent="0.25">
      <c r="A214" s="5" t="s">
        <v>473</v>
      </c>
      <c r="B214" s="6" t="s">
        <v>22</v>
      </c>
      <c r="C214" s="6" t="s">
        <v>23</v>
      </c>
      <c r="D214" s="6">
        <v>6</v>
      </c>
      <c r="E214" s="6">
        <v>335.98</v>
      </c>
      <c r="F214" s="6">
        <v>2015.88</v>
      </c>
      <c r="G214">
        <f t="shared" si="10"/>
        <v>2016</v>
      </c>
      <c r="H214" s="7">
        <v>45367</v>
      </c>
      <c r="I214" s="16" t="str">
        <f t="shared" si="11"/>
        <v>Saturday</v>
      </c>
      <c r="J214" s="6" t="s">
        <v>48</v>
      </c>
      <c r="K214" s="6" t="s">
        <v>19</v>
      </c>
      <c r="L214" s="6" t="s">
        <v>474</v>
      </c>
      <c r="M214" s="16" t="str">
        <f t="shared" si="12"/>
        <v>high</v>
      </c>
    </row>
    <row r="215" spans="1:13" x14ac:dyDescent="0.25">
      <c r="A215" s="8" t="s">
        <v>475</v>
      </c>
      <c r="B215" s="9" t="s">
        <v>30</v>
      </c>
      <c r="C215" s="9" t="s">
        <v>12</v>
      </c>
      <c r="D215" s="9">
        <v>8</v>
      </c>
      <c r="E215" s="9">
        <v>240.93</v>
      </c>
      <c r="F215" s="9">
        <v>1927.44</v>
      </c>
      <c r="G215">
        <f t="shared" si="10"/>
        <v>1928</v>
      </c>
      <c r="H215" s="10">
        <v>45099</v>
      </c>
      <c r="I215" s="16" t="str">
        <f t="shared" si="11"/>
        <v>Thursday</v>
      </c>
      <c r="J215" s="9" t="s">
        <v>13</v>
      </c>
      <c r="K215" s="9" t="s">
        <v>27</v>
      </c>
      <c r="L215" s="9" t="s">
        <v>476</v>
      </c>
      <c r="M215" s="16" t="str">
        <f t="shared" si="12"/>
        <v>low</v>
      </c>
    </row>
    <row r="216" spans="1:13" x14ac:dyDescent="0.25">
      <c r="A216" s="5" t="s">
        <v>477</v>
      </c>
      <c r="B216" s="6" t="s">
        <v>87</v>
      </c>
      <c r="C216" s="6" t="s">
        <v>59</v>
      </c>
      <c r="D216" s="6">
        <v>6</v>
      </c>
      <c r="E216" s="6">
        <v>356.92</v>
      </c>
      <c r="F216" s="6">
        <v>2141.52</v>
      </c>
      <c r="G216">
        <f t="shared" si="10"/>
        <v>2142</v>
      </c>
      <c r="H216" s="7">
        <v>45650</v>
      </c>
      <c r="I216" s="16" t="str">
        <f t="shared" si="11"/>
        <v>Tuesday</v>
      </c>
      <c r="J216" s="6" t="s">
        <v>13</v>
      </c>
      <c r="K216" s="6" t="s">
        <v>37</v>
      </c>
      <c r="L216" s="6" t="s">
        <v>478</v>
      </c>
      <c r="M216" s="16" t="str">
        <f t="shared" si="12"/>
        <v>high</v>
      </c>
    </row>
    <row r="217" spans="1:13" x14ac:dyDescent="0.25">
      <c r="A217" s="8" t="s">
        <v>479</v>
      </c>
      <c r="B217" s="9" t="s">
        <v>159</v>
      </c>
      <c r="C217" s="9" t="s">
        <v>63</v>
      </c>
      <c r="D217" s="9">
        <v>4</v>
      </c>
      <c r="E217" s="9">
        <v>124.99</v>
      </c>
      <c r="F217" s="9">
        <v>499.96</v>
      </c>
      <c r="G217">
        <f t="shared" si="10"/>
        <v>500</v>
      </c>
      <c r="H217" s="10">
        <v>45485</v>
      </c>
      <c r="I217" s="16" t="str">
        <f t="shared" si="11"/>
        <v>Friday</v>
      </c>
      <c r="J217" s="9" t="s">
        <v>48</v>
      </c>
      <c r="K217" s="9" t="s">
        <v>14</v>
      </c>
      <c r="L217" s="9" t="s">
        <v>480</v>
      </c>
      <c r="M217" s="16" t="str">
        <f t="shared" si="12"/>
        <v>low</v>
      </c>
    </row>
    <row r="218" spans="1:13" x14ac:dyDescent="0.25">
      <c r="A218" s="5" t="s">
        <v>481</v>
      </c>
      <c r="B218" s="6" t="s">
        <v>84</v>
      </c>
      <c r="C218" s="6" t="s">
        <v>23</v>
      </c>
      <c r="D218" s="6">
        <v>6</v>
      </c>
      <c r="E218" s="6">
        <v>292.70999999999998</v>
      </c>
      <c r="F218" s="6">
        <v>1756.26</v>
      </c>
      <c r="G218">
        <f t="shared" si="10"/>
        <v>1757</v>
      </c>
      <c r="H218" s="7">
        <v>45065</v>
      </c>
      <c r="I218" s="16" t="str">
        <f t="shared" si="11"/>
        <v>Friday</v>
      </c>
      <c r="J218" s="6" t="s">
        <v>48</v>
      </c>
      <c r="K218" s="6" t="s">
        <v>27</v>
      </c>
      <c r="L218" s="6" t="s">
        <v>482</v>
      </c>
      <c r="M218" s="16" t="str">
        <f t="shared" si="12"/>
        <v>low</v>
      </c>
    </row>
    <row r="219" spans="1:13" x14ac:dyDescent="0.25">
      <c r="A219" s="8" t="s">
        <v>483</v>
      </c>
      <c r="B219" s="9" t="s">
        <v>22</v>
      </c>
      <c r="C219" s="9" t="s">
        <v>23</v>
      </c>
      <c r="D219" s="9">
        <v>3</v>
      </c>
      <c r="E219" s="9">
        <v>30.65</v>
      </c>
      <c r="F219" s="9">
        <v>91.95</v>
      </c>
      <c r="G219">
        <f t="shared" si="10"/>
        <v>92</v>
      </c>
      <c r="H219" s="10">
        <v>45616</v>
      </c>
      <c r="I219" s="16" t="str">
        <f t="shared" si="11"/>
        <v>Wednesday</v>
      </c>
      <c r="J219" s="9" t="s">
        <v>18</v>
      </c>
      <c r="K219" s="9" t="s">
        <v>27</v>
      </c>
      <c r="L219" s="9" t="s">
        <v>369</v>
      </c>
      <c r="M219" s="16" t="str">
        <f t="shared" si="12"/>
        <v>low</v>
      </c>
    </row>
    <row r="220" spans="1:13" x14ac:dyDescent="0.25">
      <c r="A220" s="5" t="s">
        <v>484</v>
      </c>
      <c r="B220" s="6" t="s">
        <v>54</v>
      </c>
      <c r="C220" s="6" t="s">
        <v>55</v>
      </c>
      <c r="D220" s="6">
        <v>5</v>
      </c>
      <c r="E220" s="6">
        <v>36.369999999999997</v>
      </c>
      <c r="F220" s="6">
        <v>181.85</v>
      </c>
      <c r="G220">
        <f t="shared" si="10"/>
        <v>182</v>
      </c>
      <c r="H220" s="7">
        <v>45098</v>
      </c>
      <c r="I220" s="16" t="str">
        <f t="shared" si="11"/>
        <v>Wednesday</v>
      </c>
      <c r="J220" s="6" t="s">
        <v>13</v>
      </c>
      <c r="K220" s="6" t="s">
        <v>14</v>
      </c>
      <c r="L220" s="6" t="s">
        <v>485</v>
      </c>
      <c r="M220" s="16" t="str">
        <f t="shared" si="12"/>
        <v>low</v>
      </c>
    </row>
    <row r="221" spans="1:13" x14ac:dyDescent="0.25">
      <c r="A221" s="8" t="s">
        <v>486</v>
      </c>
      <c r="B221" s="9" t="s">
        <v>87</v>
      </c>
      <c r="C221" s="9" t="s">
        <v>59</v>
      </c>
      <c r="D221" s="9">
        <v>8</v>
      </c>
      <c r="E221" s="9">
        <v>405.89</v>
      </c>
      <c r="F221" s="9">
        <v>3247.12</v>
      </c>
      <c r="G221">
        <f t="shared" si="10"/>
        <v>3248</v>
      </c>
      <c r="H221" s="10">
        <v>45247</v>
      </c>
      <c r="I221" s="16" t="str">
        <f t="shared" si="11"/>
        <v>Friday</v>
      </c>
      <c r="J221" s="9" t="s">
        <v>13</v>
      </c>
      <c r="K221" s="9" t="s">
        <v>37</v>
      </c>
      <c r="L221" s="9" t="s">
        <v>487</v>
      </c>
      <c r="M221" s="16" t="str">
        <f t="shared" si="12"/>
        <v>high</v>
      </c>
    </row>
    <row r="222" spans="1:13" x14ac:dyDescent="0.25">
      <c r="A222" s="5" t="s">
        <v>488</v>
      </c>
      <c r="B222" s="6" t="s">
        <v>140</v>
      </c>
      <c r="C222" s="6" t="s">
        <v>59</v>
      </c>
      <c r="D222" s="6">
        <v>5</v>
      </c>
      <c r="E222" s="6">
        <v>6.34</v>
      </c>
      <c r="F222" s="6">
        <v>31.7</v>
      </c>
      <c r="G222">
        <f t="shared" si="10"/>
        <v>32</v>
      </c>
      <c r="H222" s="7">
        <v>45703</v>
      </c>
      <c r="I222" s="16" t="str">
        <f t="shared" si="11"/>
        <v>Saturday</v>
      </c>
      <c r="J222" s="6" t="s">
        <v>31</v>
      </c>
      <c r="K222" s="6" t="s">
        <v>27</v>
      </c>
      <c r="L222" s="6" t="s">
        <v>489</v>
      </c>
      <c r="M222" s="16" t="str">
        <f t="shared" si="12"/>
        <v>low</v>
      </c>
    </row>
    <row r="223" spans="1:13" x14ac:dyDescent="0.25">
      <c r="A223" s="8" t="s">
        <v>490</v>
      </c>
      <c r="B223" s="9" t="s">
        <v>99</v>
      </c>
      <c r="C223" s="9" t="s">
        <v>55</v>
      </c>
      <c r="D223" s="9">
        <v>8</v>
      </c>
      <c r="E223" s="9">
        <v>305.02</v>
      </c>
      <c r="F223" s="9">
        <v>2440.16</v>
      </c>
      <c r="G223">
        <f t="shared" si="10"/>
        <v>2441</v>
      </c>
      <c r="H223" s="10">
        <v>45345</v>
      </c>
      <c r="I223" s="16" t="str">
        <f t="shared" si="11"/>
        <v>Friday</v>
      </c>
      <c r="J223" s="9" t="s">
        <v>13</v>
      </c>
      <c r="K223" s="9" t="s">
        <v>37</v>
      </c>
      <c r="L223" s="9" t="s">
        <v>491</v>
      </c>
      <c r="M223" s="16" t="str">
        <f t="shared" si="12"/>
        <v>high</v>
      </c>
    </row>
    <row r="224" spans="1:13" x14ac:dyDescent="0.25">
      <c r="A224" s="5" t="s">
        <v>492</v>
      </c>
      <c r="B224" s="6" t="s">
        <v>84</v>
      </c>
      <c r="C224" s="6" t="s">
        <v>23</v>
      </c>
      <c r="D224" s="6">
        <v>5</v>
      </c>
      <c r="E224" s="6">
        <v>416.16</v>
      </c>
      <c r="F224" s="6">
        <v>2080.8000000000002</v>
      </c>
      <c r="G224">
        <f t="shared" si="10"/>
        <v>2081</v>
      </c>
      <c r="H224" s="7">
        <v>45162</v>
      </c>
      <c r="I224" s="16" t="str">
        <f t="shared" si="11"/>
        <v>Thursday</v>
      </c>
      <c r="J224" s="6" t="s">
        <v>13</v>
      </c>
      <c r="K224" s="6" t="s">
        <v>19</v>
      </c>
      <c r="L224" s="6" t="s">
        <v>493</v>
      </c>
      <c r="M224" s="16" t="str">
        <f t="shared" si="12"/>
        <v>high</v>
      </c>
    </row>
    <row r="225" spans="1:13" x14ac:dyDescent="0.25">
      <c r="A225" s="8" t="s">
        <v>494</v>
      </c>
      <c r="B225" s="9" t="s">
        <v>81</v>
      </c>
      <c r="C225" s="9" t="s">
        <v>55</v>
      </c>
      <c r="D225" s="9">
        <v>8</v>
      </c>
      <c r="E225" s="9">
        <v>495.51</v>
      </c>
      <c r="F225" s="9">
        <v>3964.08</v>
      </c>
      <c r="G225">
        <f t="shared" si="10"/>
        <v>3965</v>
      </c>
      <c r="H225" s="10">
        <v>45856</v>
      </c>
      <c r="I225" s="16" t="str">
        <f t="shared" si="11"/>
        <v>Friday</v>
      </c>
      <c r="J225" s="9" t="s">
        <v>18</v>
      </c>
      <c r="K225" s="9" t="s">
        <v>37</v>
      </c>
      <c r="L225" s="9" t="s">
        <v>495</v>
      </c>
      <c r="M225" s="16" t="str">
        <f t="shared" si="12"/>
        <v>high</v>
      </c>
    </row>
    <row r="226" spans="1:13" x14ac:dyDescent="0.25">
      <c r="A226" s="5" t="s">
        <v>496</v>
      </c>
      <c r="B226" s="6" t="s">
        <v>17</v>
      </c>
      <c r="C226" s="6" t="s">
        <v>12</v>
      </c>
      <c r="D226" s="6">
        <v>3</v>
      </c>
      <c r="E226" s="6">
        <v>37.92</v>
      </c>
      <c r="F226" s="6">
        <v>113.76</v>
      </c>
      <c r="G226">
        <f t="shared" si="10"/>
        <v>114</v>
      </c>
      <c r="H226" s="7">
        <v>45222</v>
      </c>
      <c r="I226" s="16" t="str">
        <f t="shared" si="11"/>
        <v>Monday</v>
      </c>
      <c r="J226" s="6" t="s">
        <v>13</v>
      </c>
      <c r="K226" s="6" t="s">
        <v>19</v>
      </c>
      <c r="L226" s="6" t="s">
        <v>497</v>
      </c>
      <c r="M226" s="16" t="str">
        <f t="shared" si="12"/>
        <v>low</v>
      </c>
    </row>
    <row r="227" spans="1:13" x14ac:dyDescent="0.25">
      <c r="A227" s="8" t="s">
        <v>498</v>
      </c>
      <c r="B227" s="9" t="s">
        <v>43</v>
      </c>
      <c r="C227" s="9" t="s">
        <v>44</v>
      </c>
      <c r="D227" s="9">
        <v>6</v>
      </c>
      <c r="E227" s="9">
        <v>28.81</v>
      </c>
      <c r="F227" s="9">
        <v>172.86</v>
      </c>
      <c r="G227">
        <f t="shared" si="10"/>
        <v>173</v>
      </c>
      <c r="H227" s="10">
        <v>45275</v>
      </c>
      <c r="I227" s="16" t="str">
        <f t="shared" si="11"/>
        <v>Friday</v>
      </c>
      <c r="J227" s="9" t="s">
        <v>18</v>
      </c>
      <c r="K227" s="9" t="s">
        <v>14</v>
      </c>
      <c r="L227" s="9" t="s">
        <v>499</v>
      </c>
      <c r="M227" s="16" t="str">
        <f t="shared" si="12"/>
        <v>low</v>
      </c>
    </row>
    <row r="228" spans="1:13" x14ac:dyDescent="0.25">
      <c r="A228" s="5" t="s">
        <v>500</v>
      </c>
      <c r="B228" s="6" t="s">
        <v>231</v>
      </c>
      <c r="C228" s="6" t="s">
        <v>55</v>
      </c>
      <c r="D228" s="6">
        <v>9</v>
      </c>
      <c r="E228" s="6">
        <v>376.5</v>
      </c>
      <c r="F228" s="6">
        <v>3388.5</v>
      </c>
      <c r="G228">
        <f t="shared" si="10"/>
        <v>3389</v>
      </c>
      <c r="H228" s="7">
        <v>45754</v>
      </c>
      <c r="I228" s="16" t="str">
        <f t="shared" si="11"/>
        <v>Monday</v>
      </c>
      <c r="J228" s="6" t="s">
        <v>13</v>
      </c>
      <c r="K228" s="6" t="s">
        <v>27</v>
      </c>
      <c r="L228" s="6" t="s">
        <v>405</v>
      </c>
      <c r="M228" s="16" t="str">
        <f t="shared" si="12"/>
        <v>high</v>
      </c>
    </row>
    <row r="229" spans="1:13" x14ac:dyDescent="0.25">
      <c r="A229" s="8" t="s">
        <v>501</v>
      </c>
      <c r="B229" s="9" t="s">
        <v>81</v>
      </c>
      <c r="C229" s="9" t="s">
        <v>55</v>
      </c>
      <c r="D229" s="9">
        <v>3</v>
      </c>
      <c r="E229" s="9">
        <v>86.31</v>
      </c>
      <c r="F229" s="9">
        <v>258.93</v>
      </c>
      <c r="G229">
        <f t="shared" si="10"/>
        <v>259</v>
      </c>
      <c r="H229" s="10">
        <v>44931</v>
      </c>
      <c r="I229" s="16" t="str">
        <f t="shared" si="11"/>
        <v>Thursday</v>
      </c>
      <c r="J229" s="9" t="s">
        <v>48</v>
      </c>
      <c r="K229" s="9" t="s">
        <v>27</v>
      </c>
      <c r="L229" s="9" t="s">
        <v>502</v>
      </c>
      <c r="M229" s="16" t="str">
        <f t="shared" si="12"/>
        <v>low</v>
      </c>
    </row>
    <row r="230" spans="1:13" x14ac:dyDescent="0.25">
      <c r="A230" s="5" t="s">
        <v>503</v>
      </c>
      <c r="B230" s="6" t="s">
        <v>58</v>
      </c>
      <c r="C230" s="6" t="s">
        <v>59</v>
      </c>
      <c r="D230" s="6">
        <v>4</v>
      </c>
      <c r="E230" s="6">
        <v>161.52000000000001</v>
      </c>
      <c r="F230" s="6">
        <v>646.08000000000004</v>
      </c>
      <c r="G230">
        <f t="shared" si="10"/>
        <v>647</v>
      </c>
      <c r="H230" s="7">
        <v>44968</v>
      </c>
      <c r="I230" s="16" t="str">
        <f t="shared" si="11"/>
        <v>Saturday</v>
      </c>
      <c r="J230" s="6" t="s">
        <v>31</v>
      </c>
      <c r="K230" s="6" t="s">
        <v>14</v>
      </c>
      <c r="L230" s="6" t="s">
        <v>504</v>
      </c>
      <c r="M230" s="16" t="str">
        <f t="shared" si="12"/>
        <v>low</v>
      </c>
    </row>
    <row r="231" spans="1:13" x14ac:dyDescent="0.25">
      <c r="A231" s="8" t="s">
        <v>505</v>
      </c>
      <c r="B231" s="9" t="s">
        <v>68</v>
      </c>
      <c r="C231" s="9" t="s">
        <v>63</v>
      </c>
      <c r="D231" s="9">
        <v>2</v>
      </c>
      <c r="E231" s="9">
        <v>409.22</v>
      </c>
      <c r="F231" s="9">
        <v>818.44</v>
      </c>
      <c r="G231">
        <f t="shared" si="10"/>
        <v>819</v>
      </c>
      <c r="H231" s="10">
        <v>45221</v>
      </c>
      <c r="I231" s="16" t="str">
        <f t="shared" si="11"/>
        <v>Sunday</v>
      </c>
      <c r="J231" s="9" t="s">
        <v>13</v>
      </c>
      <c r="K231" s="9" t="s">
        <v>19</v>
      </c>
      <c r="L231" s="9" t="s">
        <v>506</v>
      </c>
      <c r="M231" s="16" t="str">
        <f t="shared" si="12"/>
        <v>low</v>
      </c>
    </row>
    <row r="232" spans="1:13" x14ac:dyDescent="0.25">
      <c r="A232" s="5" t="s">
        <v>507</v>
      </c>
      <c r="B232" s="6" t="s">
        <v>22</v>
      </c>
      <c r="C232" s="6" t="s">
        <v>23</v>
      </c>
      <c r="D232" s="6">
        <v>3</v>
      </c>
      <c r="E232" s="6">
        <v>313.93</v>
      </c>
      <c r="F232" s="6">
        <v>941.79</v>
      </c>
      <c r="G232">
        <f t="shared" si="10"/>
        <v>942</v>
      </c>
      <c r="H232" s="7">
        <v>45791</v>
      </c>
      <c r="I232" s="16" t="str">
        <f t="shared" si="11"/>
        <v>Wednesday</v>
      </c>
      <c r="J232" s="6" t="s">
        <v>18</v>
      </c>
      <c r="K232" s="6" t="s">
        <v>37</v>
      </c>
      <c r="L232" s="6" t="s">
        <v>508</v>
      </c>
      <c r="M232" s="16" t="str">
        <f t="shared" si="12"/>
        <v>low</v>
      </c>
    </row>
    <row r="233" spans="1:13" x14ac:dyDescent="0.25">
      <c r="A233" s="8" t="s">
        <v>509</v>
      </c>
      <c r="B233" s="9" t="s">
        <v>54</v>
      </c>
      <c r="C233" s="9" t="s">
        <v>55</v>
      </c>
      <c r="D233" s="9">
        <v>1</v>
      </c>
      <c r="E233" s="9">
        <v>119.95</v>
      </c>
      <c r="F233" s="9">
        <v>119.95</v>
      </c>
      <c r="G233">
        <f t="shared" si="10"/>
        <v>120</v>
      </c>
      <c r="H233" s="10">
        <v>45151</v>
      </c>
      <c r="I233" s="16" t="str">
        <f t="shared" si="11"/>
        <v>Sunday</v>
      </c>
      <c r="J233" s="9" t="s">
        <v>31</v>
      </c>
      <c r="K233" s="9" t="s">
        <v>37</v>
      </c>
      <c r="L233" s="9" t="s">
        <v>510</v>
      </c>
      <c r="M233" s="16" t="str">
        <f t="shared" si="12"/>
        <v>low</v>
      </c>
    </row>
    <row r="234" spans="1:13" x14ac:dyDescent="0.25">
      <c r="A234" s="5" t="s">
        <v>511</v>
      </c>
      <c r="B234" s="6" t="s">
        <v>58</v>
      </c>
      <c r="C234" s="6" t="s">
        <v>59</v>
      </c>
      <c r="D234" s="6">
        <v>5</v>
      </c>
      <c r="E234" s="6">
        <v>453.7</v>
      </c>
      <c r="F234" s="6">
        <v>2268.5</v>
      </c>
      <c r="G234">
        <f t="shared" si="10"/>
        <v>2269</v>
      </c>
      <c r="H234" s="7">
        <v>45873</v>
      </c>
      <c r="I234" s="16" t="str">
        <f t="shared" si="11"/>
        <v>Monday</v>
      </c>
      <c r="J234" s="6" t="s">
        <v>13</v>
      </c>
      <c r="K234" s="6" t="s">
        <v>37</v>
      </c>
      <c r="L234" s="6" t="s">
        <v>512</v>
      </c>
      <c r="M234" s="16" t="str">
        <f t="shared" si="12"/>
        <v>high</v>
      </c>
    </row>
    <row r="235" spans="1:13" x14ac:dyDescent="0.25">
      <c r="A235" s="8" t="s">
        <v>513</v>
      </c>
      <c r="B235" s="9" t="s">
        <v>17</v>
      </c>
      <c r="C235" s="9" t="s">
        <v>12</v>
      </c>
      <c r="D235" s="9">
        <v>6</v>
      </c>
      <c r="E235" s="9">
        <v>470.22</v>
      </c>
      <c r="F235" s="9">
        <v>2821.32</v>
      </c>
      <c r="G235">
        <f t="shared" si="10"/>
        <v>2822</v>
      </c>
      <c r="H235" s="10">
        <v>45317</v>
      </c>
      <c r="I235" s="16" t="str">
        <f t="shared" si="11"/>
        <v>Friday</v>
      </c>
      <c r="J235" s="9" t="s">
        <v>31</v>
      </c>
      <c r="K235" s="9" t="s">
        <v>19</v>
      </c>
      <c r="L235" s="9" t="s">
        <v>514</v>
      </c>
      <c r="M235" s="16" t="str">
        <f t="shared" si="12"/>
        <v>high</v>
      </c>
    </row>
    <row r="236" spans="1:13" x14ac:dyDescent="0.25">
      <c r="A236" s="5" t="s">
        <v>515</v>
      </c>
      <c r="B236" s="6" t="s">
        <v>62</v>
      </c>
      <c r="C236" s="6" t="s">
        <v>63</v>
      </c>
      <c r="D236" s="6">
        <v>8</v>
      </c>
      <c r="E236" s="6">
        <v>348.39</v>
      </c>
      <c r="F236" s="6">
        <v>2787.12</v>
      </c>
      <c r="G236">
        <f t="shared" si="10"/>
        <v>2788</v>
      </c>
      <c r="H236" s="7">
        <v>45426</v>
      </c>
      <c r="I236" s="16" t="str">
        <f t="shared" si="11"/>
        <v>Tuesday</v>
      </c>
      <c r="J236" s="6" t="s">
        <v>18</v>
      </c>
      <c r="K236" s="6" t="s">
        <v>27</v>
      </c>
      <c r="L236" s="6" t="s">
        <v>516</v>
      </c>
      <c r="M236" s="16" t="str">
        <f t="shared" si="12"/>
        <v>high</v>
      </c>
    </row>
    <row r="237" spans="1:13" x14ac:dyDescent="0.25">
      <c r="A237" s="8" t="s">
        <v>517</v>
      </c>
      <c r="B237" s="9" t="s">
        <v>54</v>
      </c>
      <c r="C237" s="9" t="s">
        <v>55</v>
      </c>
      <c r="D237" s="9">
        <v>1</v>
      </c>
      <c r="E237" s="9">
        <v>269.06</v>
      </c>
      <c r="F237" s="9">
        <v>269.06</v>
      </c>
      <c r="G237">
        <f t="shared" si="10"/>
        <v>270</v>
      </c>
      <c r="H237" s="10">
        <v>45157</v>
      </c>
      <c r="I237" s="16" t="str">
        <f t="shared" si="11"/>
        <v>Saturday</v>
      </c>
      <c r="J237" s="9" t="s">
        <v>13</v>
      </c>
      <c r="K237" s="9" t="s">
        <v>27</v>
      </c>
      <c r="L237" s="9" t="s">
        <v>518</v>
      </c>
      <c r="M237" s="16" t="str">
        <f t="shared" si="12"/>
        <v>low</v>
      </c>
    </row>
    <row r="238" spans="1:13" x14ac:dyDescent="0.25">
      <c r="A238" s="5" t="s">
        <v>519</v>
      </c>
      <c r="B238" s="6" t="s">
        <v>43</v>
      </c>
      <c r="C238" s="6" t="s">
        <v>44</v>
      </c>
      <c r="D238" s="6">
        <v>4</v>
      </c>
      <c r="E238" s="6">
        <v>498.86</v>
      </c>
      <c r="F238" s="6">
        <v>1995.44</v>
      </c>
      <c r="G238">
        <f t="shared" si="10"/>
        <v>1996</v>
      </c>
      <c r="H238" s="7">
        <v>45367</v>
      </c>
      <c r="I238" s="16" t="str">
        <f t="shared" si="11"/>
        <v>Saturday</v>
      </c>
      <c r="J238" s="6" t="s">
        <v>31</v>
      </c>
      <c r="K238" s="6" t="s">
        <v>27</v>
      </c>
      <c r="L238" s="6" t="s">
        <v>520</v>
      </c>
      <c r="M238" s="16" t="str">
        <f t="shared" si="12"/>
        <v>low</v>
      </c>
    </row>
    <row r="239" spans="1:13" x14ac:dyDescent="0.25">
      <c r="A239" s="8" t="s">
        <v>521</v>
      </c>
      <c r="B239" s="9" t="s">
        <v>110</v>
      </c>
      <c r="C239" s="9" t="s">
        <v>63</v>
      </c>
      <c r="D239" s="9">
        <v>5</v>
      </c>
      <c r="E239" s="9">
        <v>390.39</v>
      </c>
      <c r="F239" s="9">
        <v>1951.95</v>
      </c>
      <c r="G239">
        <f t="shared" si="10"/>
        <v>1952</v>
      </c>
      <c r="H239" s="10">
        <v>45215</v>
      </c>
      <c r="I239" s="16" t="str">
        <f t="shared" si="11"/>
        <v>Monday</v>
      </c>
      <c r="J239" s="9" t="s">
        <v>48</v>
      </c>
      <c r="K239" s="9" t="s">
        <v>37</v>
      </c>
      <c r="L239" s="9" t="s">
        <v>522</v>
      </c>
      <c r="M239" s="16" t="str">
        <f t="shared" si="12"/>
        <v>low</v>
      </c>
    </row>
    <row r="240" spans="1:13" x14ac:dyDescent="0.25">
      <c r="A240" s="5" t="s">
        <v>523</v>
      </c>
      <c r="B240" s="6" t="s">
        <v>99</v>
      </c>
      <c r="C240" s="6" t="s">
        <v>55</v>
      </c>
      <c r="D240" s="6">
        <v>4</v>
      </c>
      <c r="E240" s="6">
        <v>287.10000000000002</v>
      </c>
      <c r="F240" s="6">
        <v>1148.4000000000001</v>
      </c>
      <c r="G240">
        <f t="shared" si="10"/>
        <v>1149</v>
      </c>
      <c r="H240" s="7">
        <v>45448</v>
      </c>
      <c r="I240" s="16" t="str">
        <f t="shared" si="11"/>
        <v>Wednesday</v>
      </c>
      <c r="J240" s="6" t="s">
        <v>31</v>
      </c>
      <c r="K240" s="6" t="s">
        <v>37</v>
      </c>
      <c r="L240" s="6" t="s">
        <v>524</v>
      </c>
      <c r="M240" s="16" t="str">
        <f t="shared" si="12"/>
        <v>low</v>
      </c>
    </row>
    <row r="241" spans="1:13" x14ac:dyDescent="0.25">
      <c r="A241" s="8" t="s">
        <v>525</v>
      </c>
      <c r="B241" s="9" t="s">
        <v>58</v>
      </c>
      <c r="C241" s="9" t="s">
        <v>59</v>
      </c>
      <c r="D241" s="9">
        <v>1</v>
      </c>
      <c r="E241" s="9">
        <v>55.94</v>
      </c>
      <c r="F241" s="9">
        <v>55.94</v>
      </c>
      <c r="G241">
        <f t="shared" si="10"/>
        <v>56</v>
      </c>
      <c r="H241" s="10">
        <v>45835</v>
      </c>
      <c r="I241" s="16" t="str">
        <f t="shared" si="11"/>
        <v>Friday</v>
      </c>
      <c r="J241" s="9" t="s">
        <v>48</v>
      </c>
      <c r="K241" s="9" t="s">
        <v>37</v>
      </c>
      <c r="L241" s="9" t="s">
        <v>526</v>
      </c>
      <c r="M241" s="16" t="str">
        <f t="shared" si="12"/>
        <v>low</v>
      </c>
    </row>
    <row r="242" spans="1:13" x14ac:dyDescent="0.25">
      <c r="A242" s="5" t="s">
        <v>527</v>
      </c>
      <c r="B242" s="6" t="s">
        <v>231</v>
      </c>
      <c r="C242" s="6" t="s">
        <v>55</v>
      </c>
      <c r="D242" s="6">
        <v>4</v>
      </c>
      <c r="E242" s="6">
        <v>231.22</v>
      </c>
      <c r="F242" s="6">
        <v>924.88</v>
      </c>
      <c r="G242">
        <f t="shared" si="10"/>
        <v>925</v>
      </c>
      <c r="H242" s="7">
        <v>45874</v>
      </c>
      <c r="I242" s="16" t="str">
        <f t="shared" si="11"/>
        <v>Tuesday</v>
      </c>
      <c r="J242" s="6" t="s">
        <v>18</v>
      </c>
      <c r="K242" s="6" t="s">
        <v>37</v>
      </c>
      <c r="L242" s="6" t="s">
        <v>528</v>
      </c>
      <c r="M242" s="16" t="str">
        <f t="shared" si="12"/>
        <v>low</v>
      </c>
    </row>
    <row r="243" spans="1:13" x14ac:dyDescent="0.25">
      <c r="A243" s="8" t="s">
        <v>529</v>
      </c>
      <c r="B243" s="9" t="s">
        <v>51</v>
      </c>
      <c r="C243" s="9" t="s">
        <v>44</v>
      </c>
      <c r="D243" s="9">
        <v>8</v>
      </c>
      <c r="E243" s="9">
        <v>79.209999999999994</v>
      </c>
      <c r="F243" s="9">
        <v>633.67999999999995</v>
      </c>
      <c r="G243">
        <f t="shared" si="10"/>
        <v>634</v>
      </c>
      <c r="H243" s="10">
        <v>44973</v>
      </c>
      <c r="I243" s="16" t="str">
        <f t="shared" si="11"/>
        <v>Thursday</v>
      </c>
      <c r="J243" s="9" t="s">
        <v>31</v>
      </c>
      <c r="K243" s="9" t="s">
        <v>14</v>
      </c>
      <c r="L243" s="9" t="s">
        <v>530</v>
      </c>
      <c r="M243" s="16" t="str">
        <f t="shared" si="12"/>
        <v>low</v>
      </c>
    </row>
    <row r="244" spans="1:13" x14ac:dyDescent="0.25">
      <c r="A244" s="5" t="s">
        <v>531</v>
      </c>
      <c r="B244" s="6" t="s">
        <v>140</v>
      </c>
      <c r="C244" s="6" t="s">
        <v>59</v>
      </c>
      <c r="D244" s="6">
        <v>2</v>
      </c>
      <c r="E244" s="6">
        <v>11.04</v>
      </c>
      <c r="F244" s="6">
        <v>22.08</v>
      </c>
      <c r="G244">
        <f t="shared" si="10"/>
        <v>23</v>
      </c>
      <c r="H244" s="7">
        <v>45553</v>
      </c>
      <c r="I244" s="16" t="str">
        <f t="shared" si="11"/>
        <v>Wednesday</v>
      </c>
      <c r="J244" s="6" t="s">
        <v>48</v>
      </c>
      <c r="K244" s="6" t="s">
        <v>37</v>
      </c>
      <c r="L244" s="6" t="s">
        <v>532</v>
      </c>
      <c r="M244" s="16" t="str">
        <f t="shared" si="12"/>
        <v>low</v>
      </c>
    </row>
    <row r="245" spans="1:13" x14ac:dyDescent="0.25">
      <c r="A245" s="8" t="s">
        <v>533</v>
      </c>
      <c r="B245" s="9" t="s">
        <v>34</v>
      </c>
      <c r="C245" s="9" t="s">
        <v>23</v>
      </c>
      <c r="D245" s="9">
        <v>4</v>
      </c>
      <c r="E245" s="9">
        <v>273.64999999999998</v>
      </c>
      <c r="F245" s="9">
        <v>1094.5999999999999</v>
      </c>
      <c r="G245">
        <f t="shared" si="10"/>
        <v>1095</v>
      </c>
      <c r="H245" s="10">
        <v>45737</v>
      </c>
      <c r="I245" s="16" t="str">
        <f t="shared" si="11"/>
        <v>Friday</v>
      </c>
      <c r="J245" s="9" t="s">
        <v>13</v>
      </c>
      <c r="K245" s="9" t="s">
        <v>14</v>
      </c>
      <c r="L245" s="9" t="s">
        <v>534</v>
      </c>
      <c r="M245" s="16" t="str">
        <f t="shared" si="12"/>
        <v>low</v>
      </c>
    </row>
    <row r="246" spans="1:13" x14ac:dyDescent="0.25">
      <c r="A246" s="5" t="s">
        <v>535</v>
      </c>
      <c r="B246" s="6" t="s">
        <v>190</v>
      </c>
      <c r="C246" s="6" t="s">
        <v>23</v>
      </c>
      <c r="D246" s="6">
        <v>4</v>
      </c>
      <c r="E246" s="6">
        <v>94.89</v>
      </c>
      <c r="F246" s="6">
        <v>379.56</v>
      </c>
      <c r="G246">
        <f t="shared" si="10"/>
        <v>380</v>
      </c>
      <c r="H246" s="7">
        <v>45768</v>
      </c>
      <c r="I246" s="16" t="str">
        <f t="shared" si="11"/>
        <v>Monday</v>
      </c>
      <c r="J246" s="6" t="s">
        <v>31</v>
      </c>
      <c r="K246" s="6" t="s">
        <v>19</v>
      </c>
      <c r="L246" s="6" t="s">
        <v>536</v>
      </c>
      <c r="M246" s="16" t="str">
        <f t="shared" si="12"/>
        <v>low</v>
      </c>
    </row>
    <row r="247" spans="1:13" x14ac:dyDescent="0.25">
      <c r="A247" s="8" t="s">
        <v>537</v>
      </c>
      <c r="B247" s="9" t="s">
        <v>110</v>
      </c>
      <c r="C247" s="9" t="s">
        <v>63</v>
      </c>
      <c r="D247" s="9">
        <v>8</v>
      </c>
      <c r="E247" s="9">
        <v>255.41</v>
      </c>
      <c r="F247" s="9">
        <v>2043.28</v>
      </c>
      <c r="G247">
        <f t="shared" si="10"/>
        <v>2044</v>
      </c>
      <c r="H247" s="10">
        <v>45911</v>
      </c>
      <c r="I247" s="16" t="str">
        <f t="shared" si="11"/>
        <v>Thursday</v>
      </c>
      <c r="J247" s="9" t="s">
        <v>18</v>
      </c>
      <c r="K247" s="9" t="s">
        <v>37</v>
      </c>
      <c r="L247" s="9" t="s">
        <v>538</v>
      </c>
      <c r="M247" s="16" t="str">
        <f t="shared" si="12"/>
        <v>high</v>
      </c>
    </row>
    <row r="248" spans="1:13" x14ac:dyDescent="0.25">
      <c r="A248" s="5" t="s">
        <v>539</v>
      </c>
      <c r="B248" s="6" t="s">
        <v>40</v>
      </c>
      <c r="C248" s="6" t="s">
        <v>12</v>
      </c>
      <c r="D248" s="6">
        <v>8</v>
      </c>
      <c r="E248" s="6">
        <v>436.7</v>
      </c>
      <c r="F248" s="6">
        <v>3493.6</v>
      </c>
      <c r="G248">
        <f t="shared" si="10"/>
        <v>3494</v>
      </c>
      <c r="H248" s="7">
        <v>45386</v>
      </c>
      <c r="I248" s="16" t="str">
        <f t="shared" si="11"/>
        <v>Thursday</v>
      </c>
      <c r="J248" s="6" t="s">
        <v>31</v>
      </c>
      <c r="K248" s="6" t="s">
        <v>37</v>
      </c>
      <c r="L248" s="6" t="s">
        <v>540</v>
      </c>
      <c r="M248" s="16" t="str">
        <f t="shared" si="12"/>
        <v>high</v>
      </c>
    </row>
    <row r="249" spans="1:13" x14ac:dyDescent="0.25">
      <c r="A249" s="8" t="s">
        <v>541</v>
      </c>
      <c r="B249" s="9" t="s">
        <v>164</v>
      </c>
      <c r="C249" s="9" t="s">
        <v>59</v>
      </c>
      <c r="D249" s="9">
        <v>4</v>
      </c>
      <c r="E249" s="9">
        <v>459.78</v>
      </c>
      <c r="F249" s="9">
        <v>1839.12</v>
      </c>
      <c r="G249">
        <f t="shared" si="10"/>
        <v>1840</v>
      </c>
      <c r="H249" s="10">
        <v>45059</v>
      </c>
      <c r="I249" s="16" t="str">
        <f t="shared" si="11"/>
        <v>Saturday</v>
      </c>
      <c r="J249" s="9" t="s">
        <v>13</v>
      </c>
      <c r="K249" s="9" t="s">
        <v>19</v>
      </c>
      <c r="L249" s="9" t="s">
        <v>542</v>
      </c>
      <c r="M249" s="16" t="str">
        <f t="shared" si="12"/>
        <v>low</v>
      </c>
    </row>
    <row r="250" spans="1:13" x14ac:dyDescent="0.25">
      <c r="A250" s="5" t="s">
        <v>543</v>
      </c>
      <c r="B250" s="6" t="s">
        <v>26</v>
      </c>
      <c r="C250" s="6" t="s">
        <v>23</v>
      </c>
      <c r="D250" s="6">
        <v>8</v>
      </c>
      <c r="E250" s="6">
        <v>327.43</v>
      </c>
      <c r="F250" s="6">
        <v>2619.44</v>
      </c>
      <c r="G250">
        <f t="shared" si="10"/>
        <v>2620</v>
      </c>
      <c r="H250" s="7">
        <v>45530</v>
      </c>
      <c r="I250" s="16" t="str">
        <f t="shared" si="11"/>
        <v>Monday</v>
      </c>
      <c r="J250" s="6" t="s">
        <v>13</v>
      </c>
      <c r="K250" s="6" t="s">
        <v>19</v>
      </c>
      <c r="L250" s="6" t="s">
        <v>544</v>
      </c>
      <c r="M250" s="16" t="str">
        <f t="shared" si="12"/>
        <v>high</v>
      </c>
    </row>
    <row r="251" spans="1:13" x14ac:dyDescent="0.25">
      <c r="A251" s="8" t="s">
        <v>545</v>
      </c>
      <c r="B251" s="9" t="s">
        <v>250</v>
      </c>
      <c r="C251" s="9" t="s">
        <v>63</v>
      </c>
      <c r="D251" s="9">
        <v>6</v>
      </c>
      <c r="E251" s="9">
        <v>43.27</v>
      </c>
      <c r="F251" s="9">
        <v>259.62</v>
      </c>
      <c r="G251">
        <f t="shared" si="10"/>
        <v>260</v>
      </c>
      <c r="H251" s="10">
        <v>45388</v>
      </c>
      <c r="I251" s="16" t="str">
        <f t="shared" si="11"/>
        <v>Saturday</v>
      </c>
      <c r="J251" s="9" t="s">
        <v>48</v>
      </c>
      <c r="K251" s="9" t="s">
        <v>14</v>
      </c>
      <c r="L251" s="9" t="s">
        <v>546</v>
      </c>
      <c r="M251" s="16" t="str">
        <f t="shared" si="12"/>
        <v>low</v>
      </c>
    </row>
    <row r="252" spans="1:13" x14ac:dyDescent="0.25">
      <c r="A252" s="5" t="s">
        <v>547</v>
      </c>
      <c r="B252" s="6" t="s">
        <v>78</v>
      </c>
      <c r="C252" s="6" t="s">
        <v>44</v>
      </c>
      <c r="D252" s="6">
        <v>6</v>
      </c>
      <c r="E252" s="6">
        <v>455.79</v>
      </c>
      <c r="F252" s="6">
        <v>2734.74</v>
      </c>
      <c r="G252">
        <f t="shared" si="10"/>
        <v>2735</v>
      </c>
      <c r="H252" s="7">
        <v>45695</v>
      </c>
      <c r="I252" s="16" t="str">
        <f t="shared" si="11"/>
        <v>Friday</v>
      </c>
      <c r="J252" s="6" t="s">
        <v>31</v>
      </c>
      <c r="K252" s="6" t="s">
        <v>19</v>
      </c>
      <c r="L252" s="6" t="s">
        <v>275</v>
      </c>
      <c r="M252" s="16" t="str">
        <f t="shared" si="12"/>
        <v>high</v>
      </c>
    </row>
    <row r="253" spans="1:13" x14ac:dyDescent="0.25">
      <c r="A253" s="8" t="s">
        <v>548</v>
      </c>
      <c r="B253" s="9" t="s">
        <v>34</v>
      </c>
      <c r="C253" s="9" t="s">
        <v>23</v>
      </c>
      <c r="D253" s="9">
        <v>5</v>
      </c>
      <c r="E253" s="9">
        <v>86.93</v>
      </c>
      <c r="F253" s="9">
        <v>434.65</v>
      </c>
      <c r="G253">
        <f t="shared" si="10"/>
        <v>435</v>
      </c>
      <c r="H253" s="10">
        <v>45346</v>
      </c>
      <c r="I253" s="16" t="str">
        <f t="shared" si="11"/>
        <v>Saturday</v>
      </c>
      <c r="J253" s="9" t="s">
        <v>31</v>
      </c>
      <c r="K253" s="9" t="s">
        <v>19</v>
      </c>
      <c r="L253" s="9" t="s">
        <v>549</v>
      </c>
      <c r="M253" s="16" t="str">
        <f t="shared" si="12"/>
        <v>low</v>
      </c>
    </row>
    <row r="254" spans="1:13" x14ac:dyDescent="0.25">
      <c r="A254" s="5" t="s">
        <v>550</v>
      </c>
      <c r="B254" s="6" t="s">
        <v>81</v>
      </c>
      <c r="C254" s="6" t="s">
        <v>55</v>
      </c>
      <c r="D254" s="6">
        <v>9</v>
      </c>
      <c r="E254" s="6">
        <v>169.41</v>
      </c>
      <c r="F254" s="6">
        <v>1524.69</v>
      </c>
      <c r="G254">
        <f t="shared" si="10"/>
        <v>1525</v>
      </c>
      <c r="H254" s="7">
        <v>45876</v>
      </c>
      <c r="I254" s="16" t="str">
        <f t="shared" si="11"/>
        <v>Thursday</v>
      </c>
      <c r="J254" s="6" t="s">
        <v>31</v>
      </c>
      <c r="K254" s="6" t="s">
        <v>27</v>
      </c>
      <c r="L254" s="6" t="s">
        <v>551</v>
      </c>
      <c r="M254" s="16" t="str">
        <f t="shared" si="12"/>
        <v>low</v>
      </c>
    </row>
    <row r="255" spans="1:13" x14ac:dyDescent="0.25">
      <c r="A255" s="8" t="s">
        <v>552</v>
      </c>
      <c r="B255" s="9" t="s">
        <v>73</v>
      </c>
      <c r="C255" s="9" t="s">
        <v>59</v>
      </c>
      <c r="D255" s="9">
        <v>3</v>
      </c>
      <c r="E255" s="9">
        <v>297.68</v>
      </c>
      <c r="F255" s="9">
        <v>893.04</v>
      </c>
      <c r="G255">
        <f t="shared" si="10"/>
        <v>894</v>
      </c>
      <c r="H255" s="10">
        <v>45587</v>
      </c>
      <c r="I255" s="16" t="str">
        <f t="shared" si="11"/>
        <v>Tuesday</v>
      </c>
      <c r="J255" s="9" t="s">
        <v>31</v>
      </c>
      <c r="K255" s="9" t="s">
        <v>37</v>
      </c>
      <c r="L255" s="9" t="s">
        <v>553</v>
      </c>
      <c r="M255" s="16" t="str">
        <f t="shared" si="12"/>
        <v>low</v>
      </c>
    </row>
    <row r="256" spans="1:13" x14ac:dyDescent="0.25">
      <c r="A256" s="5" t="s">
        <v>554</v>
      </c>
      <c r="B256" s="6" t="s">
        <v>73</v>
      </c>
      <c r="C256" s="6" t="s">
        <v>59</v>
      </c>
      <c r="D256" s="6">
        <v>5</v>
      </c>
      <c r="E256" s="6">
        <v>170.92</v>
      </c>
      <c r="F256" s="6">
        <v>854.6</v>
      </c>
      <c r="G256">
        <f t="shared" si="10"/>
        <v>855</v>
      </c>
      <c r="H256" s="7">
        <v>45362</v>
      </c>
      <c r="I256" s="16" t="str">
        <f t="shared" si="11"/>
        <v>Monday</v>
      </c>
      <c r="J256" s="6" t="s">
        <v>13</v>
      </c>
      <c r="K256" s="6" t="s">
        <v>27</v>
      </c>
      <c r="L256" s="6" t="s">
        <v>555</v>
      </c>
      <c r="M256" s="16" t="str">
        <f t="shared" si="12"/>
        <v>low</v>
      </c>
    </row>
    <row r="257" spans="1:13" x14ac:dyDescent="0.25">
      <c r="A257" s="8" t="s">
        <v>556</v>
      </c>
      <c r="B257" s="9" t="s">
        <v>58</v>
      </c>
      <c r="C257" s="9" t="s">
        <v>59</v>
      </c>
      <c r="D257" s="9">
        <v>5</v>
      </c>
      <c r="E257" s="9">
        <v>303.83999999999997</v>
      </c>
      <c r="F257" s="9">
        <v>1519.2</v>
      </c>
      <c r="G257">
        <f t="shared" si="10"/>
        <v>1520</v>
      </c>
      <c r="H257" s="10">
        <v>45729</v>
      </c>
      <c r="I257" s="16" t="str">
        <f t="shared" si="11"/>
        <v>Thursday</v>
      </c>
      <c r="J257" s="9" t="s">
        <v>31</v>
      </c>
      <c r="K257" s="9" t="s">
        <v>14</v>
      </c>
      <c r="L257" s="9" t="s">
        <v>557</v>
      </c>
      <c r="M257" s="16" t="str">
        <f t="shared" si="12"/>
        <v>low</v>
      </c>
    </row>
    <row r="258" spans="1:13" x14ac:dyDescent="0.25">
      <c r="A258" s="5" t="s">
        <v>558</v>
      </c>
      <c r="B258" s="6" t="s">
        <v>62</v>
      </c>
      <c r="C258" s="6" t="s">
        <v>63</v>
      </c>
      <c r="D258" s="6">
        <v>4</v>
      </c>
      <c r="E258" s="6">
        <v>271.01</v>
      </c>
      <c r="F258" s="6">
        <v>1084.04</v>
      </c>
      <c r="G258">
        <f t="shared" ref="G258:G321" si="13">ROUNDUP(F258,0)</f>
        <v>1085</v>
      </c>
      <c r="H258" s="7">
        <v>45001</v>
      </c>
      <c r="I258" s="16" t="str">
        <f t="shared" ref="I258:I321" si="14">TEXT(H258,"dddd")</f>
        <v>Thursday</v>
      </c>
      <c r="J258" s="6" t="s">
        <v>18</v>
      </c>
      <c r="K258" s="6" t="s">
        <v>14</v>
      </c>
      <c r="L258" s="6" t="s">
        <v>559</v>
      </c>
      <c r="M258" s="16" t="str">
        <f t="shared" ref="M258:M321" si="15">IF(G258&gt;2000,"high","low")</f>
        <v>low</v>
      </c>
    </row>
    <row r="259" spans="1:13" x14ac:dyDescent="0.25">
      <c r="A259" s="8" t="s">
        <v>560</v>
      </c>
      <c r="B259" s="9" t="s">
        <v>68</v>
      </c>
      <c r="C259" s="9" t="s">
        <v>63</v>
      </c>
      <c r="D259" s="9">
        <v>2</v>
      </c>
      <c r="E259" s="9">
        <v>235.52</v>
      </c>
      <c r="F259" s="9">
        <v>471.04</v>
      </c>
      <c r="G259">
        <f t="shared" si="13"/>
        <v>472</v>
      </c>
      <c r="H259" s="10">
        <v>45401</v>
      </c>
      <c r="I259" s="16" t="str">
        <f t="shared" si="14"/>
        <v>Friday</v>
      </c>
      <c r="J259" s="9" t="s">
        <v>13</v>
      </c>
      <c r="K259" s="9" t="s">
        <v>27</v>
      </c>
      <c r="L259" s="9" t="s">
        <v>561</v>
      </c>
      <c r="M259" s="16" t="str">
        <f t="shared" si="15"/>
        <v>low</v>
      </c>
    </row>
    <row r="260" spans="1:13" x14ac:dyDescent="0.25">
      <c r="A260" s="5" t="s">
        <v>562</v>
      </c>
      <c r="B260" s="6" t="s">
        <v>164</v>
      </c>
      <c r="C260" s="6" t="s">
        <v>59</v>
      </c>
      <c r="D260" s="6">
        <v>1</v>
      </c>
      <c r="E260" s="6">
        <v>295.60000000000002</v>
      </c>
      <c r="F260" s="6">
        <v>295.60000000000002</v>
      </c>
      <c r="G260">
        <f t="shared" si="13"/>
        <v>296</v>
      </c>
      <c r="H260" s="7">
        <v>45881</v>
      </c>
      <c r="I260" s="16" t="str">
        <f t="shared" si="14"/>
        <v>Tuesday</v>
      </c>
      <c r="J260" s="6" t="s">
        <v>18</v>
      </c>
      <c r="K260" s="6" t="s">
        <v>27</v>
      </c>
      <c r="L260" s="6" t="s">
        <v>563</v>
      </c>
      <c r="M260" s="16" t="str">
        <f t="shared" si="15"/>
        <v>low</v>
      </c>
    </row>
    <row r="261" spans="1:13" x14ac:dyDescent="0.25">
      <c r="A261" s="8" t="s">
        <v>564</v>
      </c>
      <c r="B261" s="9" t="s">
        <v>99</v>
      </c>
      <c r="C261" s="9" t="s">
        <v>55</v>
      </c>
      <c r="D261" s="9">
        <v>3</v>
      </c>
      <c r="E261" s="9">
        <v>127.87</v>
      </c>
      <c r="F261" s="9">
        <v>383.61</v>
      </c>
      <c r="G261">
        <f t="shared" si="13"/>
        <v>384</v>
      </c>
      <c r="H261" s="10">
        <v>44951</v>
      </c>
      <c r="I261" s="16" t="str">
        <f t="shared" si="14"/>
        <v>Wednesday</v>
      </c>
      <c r="J261" s="9" t="s">
        <v>31</v>
      </c>
      <c r="K261" s="9" t="s">
        <v>37</v>
      </c>
      <c r="L261" s="9" t="s">
        <v>565</v>
      </c>
      <c r="M261" s="16" t="str">
        <f t="shared" si="15"/>
        <v>low</v>
      </c>
    </row>
    <row r="262" spans="1:13" x14ac:dyDescent="0.25">
      <c r="A262" s="5" t="s">
        <v>566</v>
      </c>
      <c r="B262" s="6" t="s">
        <v>30</v>
      </c>
      <c r="C262" s="6" t="s">
        <v>12</v>
      </c>
      <c r="D262" s="6">
        <v>4</v>
      </c>
      <c r="E262" s="6">
        <v>212.37</v>
      </c>
      <c r="F262" s="6">
        <v>849.48</v>
      </c>
      <c r="G262">
        <f t="shared" si="13"/>
        <v>850</v>
      </c>
      <c r="H262" s="7">
        <v>45782</v>
      </c>
      <c r="I262" s="16" t="str">
        <f t="shared" si="14"/>
        <v>Monday</v>
      </c>
      <c r="J262" s="6" t="s">
        <v>31</v>
      </c>
      <c r="K262" s="6" t="s">
        <v>37</v>
      </c>
      <c r="L262" s="6" t="s">
        <v>567</v>
      </c>
      <c r="M262" s="16" t="str">
        <f t="shared" si="15"/>
        <v>low</v>
      </c>
    </row>
    <row r="263" spans="1:13" x14ac:dyDescent="0.25">
      <c r="A263" s="8" t="s">
        <v>568</v>
      </c>
      <c r="B263" s="9" t="s">
        <v>115</v>
      </c>
      <c r="C263" s="9" t="s">
        <v>55</v>
      </c>
      <c r="D263" s="9">
        <v>6</v>
      </c>
      <c r="E263" s="9">
        <v>113.95</v>
      </c>
      <c r="F263" s="9">
        <v>683.7</v>
      </c>
      <c r="G263">
        <f t="shared" si="13"/>
        <v>684</v>
      </c>
      <c r="H263" s="10">
        <v>45808</v>
      </c>
      <c r="I263" s="16" t="str">
        <f t="shared" si="14"/>
        <v>Saturday</v>
      </c>
      <c r="J263" s="9" t="s">
        <v>31</v>
      </c>
      <c r="K263" s="9" t="s">
        <v>14</v>
      </c>
      <c r="L263" s="9" t="s">
        <v>569</v>
      </c>
      <c r="M263" s="16" t="str">
        <f t="shared" si="15"/>
        <v>low</v>
      </c>
    </row>
    <row r="264" spans="1:13" x14ac:dyDescent="0.25">
      <c r="A264" s="5" t="s">
        <v>570</v>
      </c>
      <c r="B264" s="6" t="s">
        <v>190</v>
      </c>
      <c r="C264" s="6" t="s">
        <v>23</v>
      </c>
      <c r="D264" s="6">
        <v>1</v>
      </c>
      <c r="E264" s="6">
        <v>93.13</v>
      </c>
      <c r="F264" s="6">
        <v>93.13</v>
      </c>
      <c r="G264">
        <f t="shared" si="13"/>
        <v>94</v>
      </c>
      <c r="H264" s="7">
        <v>45010</v>
      </c>
      <c r="I264" s="16" t="str">
        <f t="shared" si="14"/>
        <v>Saturday</v>
      </c>
      <c r="J264" s="6" t="s">
        <v>18</v>
      </c>
      <c r="K264" s="6" t="s">
        <v>27</v>
      </c>
      <c r="L264" s="6" t="s">
        <v>571</v>
      </c>
      <c r="M264" s="16" t="str">
        <f t="shared" si="15"/>
        <v>low</v>
      </c>
    </row>
    <row r="265" spans="1:13" x14ac:dyDescent="0.25">
      <c r="A265" s="8" t="s">
        <v>572</v>
      </c>
      <c r="B265" s="9" t="s">
        <v>17</v>
      </c>
      <c r="C265" s="9" t="s">
        <v>12</v>
      </c>
      <c r="D265" s="9">
        <v>1</v>
      </c>
      <c r="E265" s="9">
        <v>280.87</v>
      </c>
      <c r="F265" s="9">
        <v>280.87</v>
      </c>
      <c r="G265">
        <f t="shared" si="13"/>
        <v>281</v>
      </c>
      <c r="H265" s="10">
        <v>45268</v>
      </c>
      <c r="I265" s="16" t="str">
        <f t="shared" si="14"/>
        <v>Friday</v>
      </c>
      <c r="J265" s="9" t="s">
        <v>13</v>
      </c>
      <c r="K265" s="9" t="s">
        <v>27</v>
      </c>
      <c r="L265" s="9" t="s">
        <v>573</v>
      </c>
      <c r="M265" s="16" t="str">
        <f t="shared" si="15"/>
        <v>low</v>
      </c>
    </row>
    <row r="266" spans="1:13" x14ac:dyDescent="0.25">
      <c r="A266" s="5" t="s">
        <v>574</v>
      </c>
      <c r="B266" s="6" t="s">
        <v>231</v>
      </c>
      <c r="C266" s="6" t="s">
        <v>55</v>
      </c>
      <c r="D266" s="6">
        <v>8</v>
      </c>
      <c r="E266" s="6">
        <v>253.59</v>
      </c>
      <c r="F266" s="6">
        <v>2028.72</v>
      </c>
      <c r="G266">
        <f t="shared" si="13"/>
        <v>2029</v>
      </c>
      <c r="H266" s="7">
        <v>45695</v>
      </c>
      <c r="I266" s="16" t="str">
        <f t="shared" si="14"/>
        <v>Friday</v>
      </c>
      <c r="J266" s="6" t="s">
        <v>13</v>
      </c>
      <c r="K266" s="6" t="s">
        <v>19</v>
      </c>
      <c r="L266" s="6" t="s">
        <v>575</v>
      </c>
      <c r="M266" s="16" t="str">
        <f t="shared" si="15"/>
        <v>high</v>
      </c>
    </row>
    <row r="267" spans="1:13" x14ac:dyDescent="0.25">
      <c r="A267" s="8" t="s">
        <v>576</v>
      </c>
      <c r="B267" s="9" t="s">
        <v>43</v>
      </c>
      <c r="C267" s="9" t="s">
        <v>44</v>
      </c>
      <c r="D267" s="9">
        <v>7</v>
      </c>
      <c r="E267" s="9">
        <v>216.26</v>
      </c>
      <c r="F267" s="9">
        <v>1513.82</v>
      </c>
      <c r="G267">
        <f t="shared" si="13"/>
        <v>1514</v>
      </c>
      <c r="H267" s="10">
        <v>45878</v>
      </c>
      <c r="I267" s="16" t="str">
        <f t="shared" si="14"/>
        <v>Saturday</v>
      </c>
      <c r="J267" s="9" t="s">
        <v>48</v>
      </c>
      <c r="K267" s="9" t="s">
        <v>19</v>
      </c>
      <c r="L267" s="9" t="s">
        <v>577</v>
      </c>
      <c r="M267" s="16" t="str">
        <f t="shared" si="15"/>
        <v>low</v>
      </c>
    </row>
    <row r="268" spans="1:13" x14ac:dyDescent="0.25">
      <c r="A268" s="5" t="s">
        <v>578</v>
      </c>
      <c r="B268" s="6" t="s">
        <v>51</v>
      </c>
      <c r="C268" s="6" t="s">
        <v>44</v>
      </c>
      <c r="D268" s="6">
        <v>1</v>
      </c>
      <c r="E268" s="6">
        <v>23.09</v>
      </c>
      <c r="F268" s="6">
        <v>23.09</v>
      </c>
      <c r="G268">
        <f t="shared" si="13"/>
        <v>24</v>
      </c>
      <c r="H268" s="7">
        <v>45212</v>
      </c>
      <c r="I268" s="16" t="str">
        <f t="shared" si="14"/>
        <v>Friday</v>
      </c>
      <c r="J268" s="6" t="s">
        <v>18</v>
      </c>
      <c r="K268" s="6" t="s">
        <v>19</v>
      </c>
      <c r="L268" s="6" t="s">
        <v>579</v>
      </c>
      <c r="M268" s="16" t="str">
        <f t="shared" si="15"/>
        <v>low</v>
      </c>
    </row>
    <row r="269" spans="1:13" x14ac:dyDescent="0.25">
      <c r="A269" s="8" t="s">
        <v>580</v>
      </c>
      <c r="B269" s="9" t="s">
        <v>43</v>
      </c>
      <c r="C269" s="9" t="s">
        <v>44</v>
      </c>
      <c r="D269" s="9">
        <v>8</v>
      </c>
      <c r="E269" s="9">
        <v>295.79000000000002</v>
      </c>
      <c r="F269" s="9">
        <v>2366.3200000000002</v>
      </c>
      <c r="G269">
        <f t="shared" si="13"/>
        <v>2367</v>
      </c>
      <c r="H269" s="10">
        <v>45695</v>
      </c>
      <c r="I269" s="16" t="str">
        <f t="shared" si="14"/>
        <v>Friday</v>
      </c>
      <c r="J269" s="9" t="s">
        <v>18</v>
      </c>
      <c r="K269" s="9" t="s">
        <v>14</v>
      </c>
      <c r="L269" s="9" t="s">
        <v>581</v>
      </c>
      <c r="M269" s="16" t="str">
        <f t="shared" si="15"/>
        <v>high</v>
      </c>
    </row>
    <row r="270" spans="1:13" x14ac:dyDescent="0.25">
      <c r="A270" s="5" t="s">
        <v>582</v>
      </c>
      <c r="B270" s="6" t="s">
        <v>30</v>
      </c>
      <c r="C270" s="6" t="s">
        <v>12</v>
      </c>
      <c r="D270" s="6">
        <v>2</v>
      </c>
      <c r="E270" s="6">
        <v>264.57</v>
      </c>
      <c r="F270" s="6">
        <v>529.14</v>
      </c>
      <c r="G270">
        <f t="shared" si="13"/>
        <v>530</v>
      </c>
      <c r="H270" s="7">
        <v>45914</v>
      </c>
      <c r="I270" s="16" t="str">
        <f t="shared" si="14"/>
        <v>Sunday</v>
      </c>
      <c r="J270" s="6" t="s">
        <v>48</v>
      </c>
      <c r="K270" s="6" t="s">
        <v>27</v>
      </c>
      <c r="L270" s="6" t="s">
        <v>583</v>
      </c>
      <c r="M270" s="16" t="str">
        <f t="shared" si="15"/>
        <v>low</v>
      </c>
    </row>
    <row r="271" spans="1:13" x14ac:dyDescent="0.25">
      <c r="A271" s="8" t="s">
        <v>584</v>
      </c>
      <c r="B271" s="9" t="s">
        <v>81</v>
      </c>
      <c r="C271" s="9" t="s">
        <v>55</v>
      </c>
      <c r="D271" s="9">
        <v>2</v>
      </c>
      <c r="E271" s="9">
        <v>251.02</v>
      </c>
      <c r="F271" s="9">
        <v>502.04</v>
      </c>
      <c r="G271">
        <f t="shared" si="13"/>
        <v>503</v>
      </c>
      <c r="H271" s="10">
        <v>45873</v>
      </c>
      <c r="I271" s="16" t="str">
        <f t="shared" si="14"/>
        <v>Monday</v>
      </c>
      <c r="J271" s="9" t="s">
        <v>31</v>
      </c>
      <c r="K271" s="9" t="s">
        <v>19</v>
      </c>
      <c r="L271" s="9" t="s">
        <v>585</v>
      </c>
      <c r="M271" s="16" t="str">
        <f t="shared" si="15"/>
        <v>low</v>
      </c>
    </row>
    <row r="272" spans="1:13" x14ac:dyDescent="0.25">
      <c r="A272" s="5" t="s">
        <v>586</v>
      </c>
      <c r="B272" s="6" t="s">
        <v>96</v>
      </c>
      <c r="C272" s="6" t="s">
        <v>44</v>
      </c>
      <c r="D272" s="6">
        <v>4</v>
      </c>
      <c r="E272" s="6">
        <v>95.05</v>
      </c>
      <c r="F272" s="6">
        <v>380.2</v>
      </c>
      <c r="G272">
        <f t="shared" si="13"/>
        <v>381</v>
      </c>
      <c r="H272" s="7">
        <v>45851</v>
      </c>
      <c r="I272" s="16" t="str">
        <f t="shared" si="14"/>
        <v>Sunday</v>
      </c>
      <c r="J272" s="6" t="s">
        <v>48</v>
      </c>
      <c r="K272" s="6" t="s">
        <v>37</v>
      </c>
      <c r="L272" s="6" t="s">
        <v>587</v>
      </c>
      <c r="M272" s="16" t="str">
        <f t="shared" si="15"/>
        <v>low</v>
      </c>
    </row>
    <row r="273" spans="1:13" x14ac:dyDescent="0.25">
      <c r="A273" s="8" t="s">
        <v>588</v>
      </c>
      <c r="B273" s="9" t="s">
        <v>51</v>
      </c>
      <c r="C273" s="9" t="s">
        <v>44</v>
      </c>
      <c r="D273" s="9">
        <v>3</v>
      </c>
      <c r="E273" s="9">
        <v>189.79</v>
      </c>
      <c r="F273" s="9">
        <v>569.37</v>
      </c>
      <c r="G273">
        <f t="shared" si="13"/>
        <v>570</v>
      </c>
      <c r="H273" s="10">
        <v>45384</v>
      </c>
      <c r="I273" s="16" t="str">
        <f t="shared" si="14"/>
        <v>Tuesday</v>
      </c>
      <c r="J273" s="9" t="s">
        <v>18</v>
      </c>
      <c r="K273" s="9" t="s">
        <v>19</v>
      </c>
      <c r="L273" s="9" t="s">
        <v>589</v>
      </c>
      <c r="M273" s="16" t="str">
        <f t="shared" si="15"/>
        <v>low</v>
      </c>
    </row>
    <row r="274" spans="1:13" x14ac:dyDescent="0.25">
      <c r="A274" s="5" t="s">
        <v>590</v>
      </c>
      <c r="B274" s="6" t="s">
        <v>68</v>
      </c>
      <c r="C274" s="6" t="s">
        <v>63</v>
      </c>
      <c r="D274" s="6">
        <v>1</v>
      </c>
      <c r="E274" s="6">
        <v>17.57</v>
      </c>
      <c r="F274" s="6">
        <v>17.57</v>
      </c>
      <c r="G274">
        <f t="shared" si="13"/>
        <v>18</v>
      </c>
      <c r="H274" s="7">
        <v>45402</v>
      </c>
      <c r="I274" s="16" t="str">
        <f t="shared" si="14"/>
        <v>Saturday</v>
      </c>
      <c r="J274" s="6" t="s">
        <v>13</v>
      </c>
      <c r="K274" s="6" t="s">
        <v>27</v>
      </c>
      <c r="L274" s="6" t="s">
        <v>591</v>
      </c>
      <c r="M274" s="16" t="str">
        <f t="shared" si="15"/>
        <v>low</v>
      </c>
    </row>
    <row r="275" spans="1:13" x14ac:dyDescent="0.25">
      <c r="A275" s="8" t="s">
        <v>592</v>
      </c>
      <c r="B275" s="9" t="s">
        <v>110</v>
      </c>
      <c r="C275" s="9" t="s">
        <v>63</v>
      </c>
      <c r="D275" s="9">
        <v>8</v>
      </c>
      <c r="E275" s="9">
        <v>18.41</v>
      </c>
      <c r="F275" s="9">
        <v>147.28</v>
      </c>
      <c r="G275">
        <f t="shared" si="13"/>
        <v>148</v>
      </c>
      <c r="H275" s="10">
        <v>45685</v>
      </c>
      <c r="I275" s="16" t="str">
        <f t="shared" si="14"/>
        <v>Tuesday</v>
      </c>
      <c r="J275" s="9" t="s">
        <v>48</v>
      </c>
      <c r="K275" s="9" t="s">
        <v>19</v>
      </c>
      <c r="L275" s="9" t="s">
        <v>593</v>
      </c>
      <c r="M275" s="16" t="str">
        <f t="shared" si="15"/>
        <v>low</v>
      </c>
    </row>
    <row r="276" spans="1:13" x14ac:dyDescent="0.25">
      <c r="A276" s="5" t="s">
        <v>594</v>
      </c>
      <c r="B276" s="6" t="s">
        <v>87</v>
      </c>
      <c r="C276" s="6" t="s">
        <v>59</v>
      </c>
      <c r="D276" s="6">
        <v>8</v>
      </c>
      <c r="E276" s="6">
        <v>102.08</v>
      </c>
      <c r="F276" s="6">
        <v>816.64</v>
      </c>
      <c r="G276">
        <f t="shared" si="13"/>
        <v>817</v>
      </c>
      <c r="H276" s="7">
        <v>45693</v>
      </c>
      <c r="I276" s="16" t="str">
        <f t="shared" si="14"/>
        <v>Wednesday</v>
      </c>
      <c r="J276" s="6" t="s">
        <v>13</v>
      </c>
      <c r="K276" s="6" t="s">
        <v>37</v>
      </c>
      <c r="L276" s="6" t="s">
        <v>595</v>
      </c>
      <c r="M276" s="16" t="str">
        <f t="shared" si="15"/>
        <v>low</v>
      </c>
    </row>
    <row r="277" spans="1:13" x14ac:dyDescent="0.25">
      <c r="A277" s="8" t="s">
        <v>596</v>
      </c>
      <c r="B277" s="9" t="s">
        <v>99</v>
      </c>
      <c r="C277" s="9" t="s">
        <v>55</v>
      </c>
      <c r="D277" s="9">
        <v>6</v>
      </c>
      <c r="E277" s="9">
        <v>172.94</v>
      </c>
      <c r="F277" s="9">
        <v>1037.6400000000001</v>
      </c>
      <c r="G277">
        <f t="shared" si="13"/>
        <v>1038</v>
      </c>
      <c r="H277" s="10">
        <v>45155</v>
      </c>
      <c r="I277" s="16" t="str">
        <f t="shared" si="14"/>
        <v>Thursday</v>
      </c>
      <c r="J277" s="9" t="s">
        <v>13</v>
      </c>
      <c r="K277" s="9" t="s">
        <v>37</v>
      </c>
      <c r="L277" s="9" t="s">
        <v>597</v>
      </c>
      <c r="M277" s="16" t="str">
        <f t="shared" si="15"/>
        <v>low</v>
      </c>
    </row>
    <row r="278" spans="1:13" x14ac:dyDescent="0.25">
      <c r="A278" s="5" t="s">
        <v>598</v>
      </c>
      <c r="B278" s="6" t="s">
        <v>26</v>
      </c>
      <c r="C278" s="6" t="s">
        <v>23</v>
      </c>
      <c r="D278" s="6">
        <v>3</v>
      </c>
      <c r="E278" s="6">
        <v>328.11</v>
      </c>
      <c r="F278" s="6">
        <v>984.33</v>
      </c>
      <c r="G278">
        <f t="shared" si="13"/>
        <v>985</v>
      </c>
      <c r="H278" s="7">
        <v>45190</v>
      </c>
      <c r="I278" s="16" t="str">
        <f t="shared" si="14"/>
        <v>Thursday</v>
      </c>
      <c r="J278" s="6" t="s">
        <v>13</v>
      </c>
      <c r="K278" s="6" t="s">
        <v>14</v>
      </c>
      <c r="L278" s="6" t="s">
        <v>599</v>
      </c>
      <c r="M278" s="16" t="str">
        <f t="shared" si="15"/>
        <v>low</v>
      </c>
    </row>
    <row r="279" spans="1:13" x14ac:dyDescent="0.25">
      <c r="A279" s="8" t="s">
        <v>600</v>
      </c>
      <c r="B279" s="9" t="s">
        <v>87</v>
      </c>
      <c r="C279" s="9" t="s">
        <v>59</v>
      </c>
      <c r="D279" s="9">
        <v>8</v>
      </c>
      <c r="E279" s="9">
        <v>362.52</v>
      </c>
      <c r="F279" s="9">
        <v>2900.16</v>
      </c>
      <c r="G279">
        <f t="shared" si="13"/>
        <v>2901</v>
      </c>
      <c r="H279" s="10">
        <v>45046</v>
      </c>
      <c r="I279" s="16" t="str">
        <f t="shared" si="14"/>
        <v>Sunday</v>
      </c>
      <c r="J279" s="9" t="s">
        <v>13</v>
      </c>
      <c r="K279" s="9" t="s">
        <v>14</v>
      </c>
      <c r="L279" s="9" t="s">
        <v>601</v>
      </c>
      <c r="M279" s="16" t="str">
        <f t="shared" si="15"/>
        <v>high</v>
      </c>
    </row>
    <row r="280" spans="1:13" x14ac:dyDescent="0.25">
      <c r="A280" s="5" t="s">
        <v>602</v>
      </c>
      <c r="B280" s="6" t="s">
        <v>17</v>
      </c>
      <c r="C280" s="6" t="s">
        <v>12</v>
      </c>
      <c r="D280" s="6">
        <v>4</v>
      </c>
      <c r="E280" s="6">
        <v>472.48</v>
      </c>
      <c r="F280" s="6">
        <v>1889.92</v>
      </c>
      <c r="G280">
        <f t="shared" si="13"/>
        <v>1890</v>
      </c>
      <c r="H280" s="7">
        <v>45108</v>
      </c>
      <c r="I280" s="16" t="str">
        <f t="shared" si="14"/>
        <v>Saturday</v>
      </c>
      <c r="J280" s="6" t="s">
        <v>31</v>
      </c>
      <c r="K280" s="6" t="s">
        <v>37</v>
      </c>
      <c r="L280" s="6" t="s">
        <v>603</v>
      </c>
      <c r="M280" s="16" t="str">
        <f t="shared" si="15"/>
        <v>low</v>
      </c>
    </row>
    <row r="281" spans="1:13" x14ac:dyDescent="0.25">
      <c r="A281" s="8" t="s">
        <v>604</v>
      </c>
      <c r="B281" s="9" t="s">
        <v>110</v>
      </c>
      <c r="C281" s="9" t="s">
        <v>63</v>
      </c>
      <c r="D281" s="9">
        <v>7</v>
      </c>
      <c r="E281" s="9">
        <v>448.69</v>
      </c>
      <c r="F281" s="9">
        <v>3140.83</v>
      </c>
      <c r="G281">
        <f t="shared" si="13"/>
        <v>3141</v>
      </c>
      <c r="H281" s="10">
        <v>44933</v>
      </c>
      <c r="I281" s="16" t="str">
        <f t="shared" si="14"/>
        <v>Saturday</v>
      </c>
      <c r="J281" s="9" t="s">
        <v>31</v>
      </c>
      <c r="K281" s="9" t="s">
        <v>37</v>
      </c>
      <c r="L281" s="9" t="s">
        <v>605</v>
      </c>
      <c r="M281" s="16" t="str">
        <f t="shared" si="15"/>
        <v>high</v>
      </c>
    </row>
    <row r="282" spans="1:13" x14ac:dyDescent="0.25">
      <c r="A282" s="5" t="s">
        <v>606</v>
      </c>
      <c r="B282" s="6" t="s">
        <v>47</v>
      </c>
      <c r="C282" s="6" t="s">
        <v>44</v>
      </c>
      <c r="D282" s="6">
        <v>7</v>
      </c>
      <c r="E282" s="6">
        <v>369.27</v>
      </c>
      <c r="F282" s="6">
        <v>2584.89</v>
      </c>
      <c r="G282">
        <f t="shared" si="13"/>
        <v>2585</v>
      </c>
      <c r="H282" s="7">
        <v>45011</v>
      </c>
      <c r="I282" s="16" t="str">
        <f t="shared" si="14"/>
        <v>Sunday</v>
      </c>
      <c r="J282" s="6" t="s">
        <v>18</v>
      </c>
      <c r="K282" s="6" t="s">
        <v>37</v>
      </c>
      <c r="L282" s="6" t="s">
        <v>607</v>
      </c>
      <c r="M282" s="16" t="str">
        <f t="shared" si="15"/>
        <v>high</v>
      </c>
    </row>
    <row r="283" spans="1:13" x14ac:dyDescent="0.25">
      <c r="A283" s="8" t="s">
        <v>608</v>
      </c>
      <c r="B283" s="9" t="s">
        <v>164</v>
      </c>
      <c r="C283" s="9" t="s">
        <v>59</v>
      </c>
      <c r="D283" s="9">
        <v>3</v>
      </c>
      <c r="E283" s="9">
        <v>293.61</v>
      </c>
      <c r="F283" s="9">
        <v>880.83</v>
      </c>
      <c r="G283">
        <f t="shared" si="13"/>
        <v>881</v>
      </c>
      <c r="H283" s="10">
        <v>45626</v>
      </c>
      <c r="I283" s="16" t="str">
        <f t="shared" si="14"/>
        <v>Saturday</v>
      </c>
      <c r="J283" s="9" t="s">
        <v>31</v>
      </c>
      <c r="K283" s="9" t="s">
        <v>37</v>
      </c>
      <c r="L283" s="9" t="s">
        <v>609</v>
      </c>
      <c r="M283" s="16" t="str">
        <f t="shared" si="15"/>
        <v>low</v>
      </c>
    </row>
    <row r="284" spans="1:13" x14ac:dyDescent="0.25">
      <c r="A284" s="5" t="s">
        <v>610</v>
      </c>
      <c r="B284" s="6" t="s">
        <v>78</v>
      </c>
      <c r="C284" s="6" t="s">
        <v>44</v>
      </c>
      <c r="D284" s="6">
        <v>2</v>
      </c>
      <c r="E284" s="6">
        <v>455.76</v>
      </c>
      <c r="F284" s="6">
        <v>911.52</v>
      </c>
      <c r="G284">
        <f t="shared" si="13"/>
        <v>912</v>
      </c>
      <c r="H284" s="7">
        <v>45635</v>
      </c>
      <c r="I284" s="16" t="str">
        <f t="shared" si="14"/>
        <v>Monday</v>
      </c>
      <c r="J284" s="6" t="s">
        <v>13</v>
      </c>
      <c r="K284" s="6" t="s">
        <v>27</v>
      </c>
      <c r="L284" s="6" t="s">
        <v>611</v>
      </c>
      <c r="M284" s="16" t="str">
        <f t="shared" si="15"/>
        <v>low</v>
      </c>
    </row>
    <row r="285" spans="1:13" x14ac:dyDescent="0.25">
      <c r="A285" s="8" t="s">
        <v>612</v>
      </c>
      <c r="B285" s="9" t="s">
        <v>40</v>
      </c>
      <c r="C285" s="9" t="s">
        <v>12</v>
      </c>
      <c r="D285" s="9">
        <v>2</v>
      </c>
      <c r="E285" s="9">
        <v>184.71</v>
      </c>
      <c r="F285" s="9">
        <v>369.42</v>
      </c>
      <c r="G285">
        <f t="shared" si="13"/>
        <v>370</v>
      </c>
      <c r="H285" s="10">
        <v>45045</v>
      </c>
      <c r="I285" s="16" t="str">
        <f t="shared" si="14"/>
        <v>Saturday</v>
      </c>
      <c r="J285" s="9" t="s">
        <v>48</v>
      </c>
      <c r="K285" s="9" t="s">
        <v>14</v>
      </c>
      <c r="L285" s="9" t="s">
        <v>613</v>
      </c>
      <c r="M285" s="16" t="str">
        <f t="shared" si="15"/>
        <v>low</v>
      </c>
    </row>
    <row r="286" spans="1:13" x14ac:dyDescent="0.25">
      <c r="A286" s="5" t="s">
        <v>614</v>
      </c>
      <c r="B286" s="6" t="s">
        <v>96</v>
      </c>
      <c r="C286" s="6" t="s">
        <v>44</v>
      </c>
      <c r="D286" s="6">
        <v>4</v>
      </c>
      <c r="E286" s="6">
        <v>313.95</v>
      </c>
      <c r="F286" s="6">
        <v>1255.8</v>
      </c>
      <c r="G286">
        <f t="shared" si="13"/>
        <v>1256</v>
      </c>
      <c r="H286" s="7">
        <v>45860</v>
      </c>
      <c r="I286" s="16" t="str">
        <f t="shared" si="14"/>
        <v>Tuesday</v>
      </c>
      <c r="J286" s="6" t="s">
        <v>48</v>
      </c>
      <c r="K286" s="6" t="s">
        <v>27</v>
      </c>
      <c r="L286" s="6" t="s">
        <v>615</v>
      </c>
      <c r="M286" s="16" t="str">
        <f t="shared" si="15"/>
        <v>low</v>
      </c>
    </row>
    <row r="287" spans="1:13" x14ac:dyDescent="0.25">
      <c r="A287" s="8" t="s">
        <v>616</v>
      </c>
      <c r="B287" s="9" t="s">
        <v>99</v>
      </c>
      <c r="C287" s="9" t="s">
        <v>55</v>
      </c>
      <c r="D287" s="9">
        <v>9</v>
      </c>
      <c r="E287" s="9">
        <v>220.88</v>
      </c>
      <c r="F287" s="9">
        <v>1987.92</v>
      </c>
      <c r="G287">
        <f t="shared" si="13"/>
        <v>1988</v>
      </c>
      <c r="H287" s="10">
        <v>45866</v>
      </c>
      <c r="I287" s="16" t="str">
        <f t="shared" si="14"/>
        <v>Monday</v>
      </c>
      <c r="J287" s="9" t="s">
        <v>18</v>
      </c>
      <c r="K287" s="9" t="s">
        <v>19</v>
      </c>
      <c r="L287" s="9" t="s">
        <v>617</v>
      </c>
      <c r="M287" s="16" t="str">
        <f t="shared" si="15"/>
        <v>low</v>
      </c>
    </row>
    <row r="288" spans="1:13" x14ac:dyDescent="0.25">
      <c r="A288" s="5" t="s">
        <v>618</v>
      </c>
      <c r="B288" s="6" t="s">
        <v>26</v>
      </c>
      <c r="C288" s="6" t="s">
        <v>23</v>
      </c>
      <c r="D288" s="6">
        <v>4</v>
      </c>
      <c r="E288" s="6">
        <v>487.4</v>
      </c>
      <c r="F288" s="6">
        <v>1949.6</v>
      </c>
      <c r="G288">
        <f t="shared" si="13"/>
        <v>1950</v>
      </c>
      <c r="H288" s="7">
        <v>45290</v>
      </c>
      <c r="I288" s="16" t="str">
        <f t="shared" si="14"/>
        <v>Saturday</v>
      </c>
      <c r="J288" s="6" t="s">
        <v>18</v>
      </c>
      <c r="K288" s="6" t="s">
        <v>27</v>
      </c>
      <c r="L288" s="6" t="s">
        <v>619</v>
      </c>
      <c r="M288" s="16" t="str">
        <f t="shared" si="15"/>
        <v>low</v>
      </c>
    </row>
    <row r="289" spans="1:13" x14ac:dyDescent="0.25">
      <c r="A289" s="8" t="s">
        <v>620</v>
      </c>
      <c r="B289" s="9" t="s">
        <v>159</v>
      </c>
      <c r="C289" s="9" t="s">
        <v>63</v>
      </c>
      <c r="D289" s="9">
        <v>7</v>
      </c>
      <c r="E289" s="9">
        <v>400.93</v>
      </c>
      <c r="F289" s="9">
        <v>2806.51</v>
      </c>
      <c r="G289">
        <f t="shared" si="13"/>
        <v>2807</v>
      </c>
      <c r="H289" s="10">
        <v>45647</v>
      </c>
      <c r="I289" s="16" t="str">
        <f t="shared" si="14"/>
        <v>Saturday</v>
      </c>
      <c r="J289" s="9" t="s">
        <v>31</v>
      </c>
      <c r="K289" s="9" t="s">
        <v>27</v>
      </c>
      <c r="L289" s="9" t="s">
        <v>621</v>
      </c>
      <c r="M289" s="16" t="str">
        <f t="shared" si="15"/>
        <v>high</v>
      </c>
    </row>
    <row r="290" spans="1:13" x14ac:dyDescent="0.25">
      <c r="A290" s="5" t="s">
        <v>622</v>
      </c>
      <c r="B290" s="6" t="s">
        <v>26</v>
      </c>
      <c r="C290" s="6" t="s">
        <v>23</v>
      </c>
      <c r="D290" s="6">
        <v>1</v>
      </c>
      <c r="E290" s="6">
        <v>138</v>
      </c>
      <c r="F290" s="6">
        <v>138</v>
      </c>
      <c r="G290">
        <f t="shared" si="13"/>
        <v>138</v>
      </c>
      <c r="H290" s="7">
        <v>45478</v>
      </c>
      <c r="I290" s="16" t="str">
        <f t="shared" si="14"/>
        <v>Friday</v>
      </c>
      <c r="J290" s="6" t="s">
        <v>13</v>
      </c>
      <c r="K290" s="6" t="s">
        <v>14</v>
      </c>
      <c r="L290" s="6" t="s">
        <v>510</v>
      </c>
      <c r="M290" s="16" t="str">
        <f t="shared" si="15"/>
        <v>low</v>
      </c>
    </row>
    <row r="291" spans="1:13" x14ac:dyDescent="0.25">
      <c r="A291" s="8" t="s">
        <v>623</v>
      </c>
      <c r="B291" s="9" t="s">
        <v>40</v>
      </c>
      <c r="C291" s="9" t="s">
        <v>12</v>
      </c>
      <c r="D291" s="9">
        <v>9</v>
      </c>
      <c r="E291" s="9">
        <v>132.65</v>
      </c>
      <c r="F291" s="9">
        <v>1193.8499999999999</v>
      </c>
      <c r="G291">
        <f t="shared" si="13"/>
        <v>1194</v>
      </c>
      <c r="H291" s="10">
        <v>45684</v>
      </c>
      <c r="I291" s="16" t="str">
        <f t="shared" si="14"/>
        <v>Monday</v>
      </c>
      <c r="J291" s="9" t="s">
        <v>18</v>
      </c>
      <c r="K291" s="9" t="s">
        <v>14</v>
      </c>
      <c r="L291" s="9" t="s">
        <v>624</v>
      </c>
      <c r="M291" s="16" t="str">
        <f t="shared" si="15"/>
        <v>low</v>
      </c>
    </row>
    <row r="292" spans="1:13" x14ac:dyDescent="0.25">
      <c r="A292" s="5" t="s">
        <v>625</v>
      </c>
      <c r="B292" s="6" t="s">
        <v>96</v>
      </c>
      <c r="C292" s="6" t="s">
        <v>44</v>
      </c>
      <c r="D292" s="6">
        <v>4</v>
      </c>
      <c r="E292" s="6">
        <v>70.48</v>
      </c>
      <c r="F292" s="6">
        <v>281.92</v>
      </c>
      <c r="G292">
        <f t="shared" si="13"/>
        <v>282</v>
      </c>
      <c r="H292" s="7">
        <v>44955</v>
      </c>
      <c r="I292" s="16" t="str">
        <f t="shared" si="14"/>
        <v>Sunday</v>
      </c>
      <c r="J292" s="6" t="s">
        <v>31</v>
      </c>
      <c r="K292" s="6" t="s">
        <v>27</v>
      </c>
      <c r="L292" s="6" t="s">
        <v>92</v>
      </c>
      <c r="M292" s="16" t="str">
        <f t="shared" si="15"/>
        <v>low</v>
      </c>
    </row>
    <row r="293" spans="1:13" x14ac:dyDescent="0.25">
      <c r="A293" s="8" t="s">
        <v>626</v>
      </c>
      <c r="B293" s="9" t="s">
        <v>164</v>
      </c>
      <c r="C293" s="9" t="s">
        <v>59</v>
      </c>
      <c r="D293" s="9">
        <v>6</v>
      </c>
      <c r="E293" s="9">
        <v>457.58</v>
      </c>
      <c r="F293" s="9">
        <v>2745.48</v>
      </c>
      <c r="G293">
        <f t="shared" si="13"/>
        <v>2746</v>
      </c>
      <c r="H293" s="10">
        <v>45779</v>
      </c>
      <c r="I293" s="16" t="str">
        <f t="shared" si="14"/>
        <v>Friday</v>
      </c>
      <c r="J293" s="9" t="s">
        <v>31</v>
      </c>
      <c r="K293" s="9" t="s">
        <v>14</v>
      </c>
      <c r="L293" s="9" t="s">
        <v>627</v>
      </c>
      <c r="M293" s="16" t="str">
        <f t="shared" si="15"/>
        <v>high</v>
      </c>
    </row>
    <row r="294" spans="1:13" x14ac:dyDescent="0.25">
      <c r="A294" s="5" t="s">
        <v>628</v>
      </c>
      <c r="B294" s="6" t="s">
        <v>81</v>
      </c>
      <c r="C294" s="6" t="s">
        <v>55</v>
      </c>
      <c r="D294" s="6">
        <v>9</v>
      </c>
      <c r="E294" s="6">
        <v>140.66</v>
      </c>
      <c r="F294" s="6">
        <v>1265.94</v>
      </c>
      <c r="G294">
        <f t="shared" si="13"/>
        <v>1266</v>
      </c>
      <c r="H294" s="7">
        <v>44943</v>
      </c>
      <c r="I294" s="16" t="str">
        <f t="shared" si="14"/>
        <v>Tuesday</v>
      </c>
      <c r="J294" s="6" t="s">
        <v>13</v>
      </c>
      <c r="K294" s="6" t="s">
        <v>37</v>
      </c>
      <c r="L294" s="6" t="s">
        <v>629</v>
      </c>
      <c r="M294" s="16" t="str">
        <f t="shared" si="15"/>
        <v>low</v>
      </c>
    </row>
    <row r="295" spans="1:13" x14ac:dyDescent="0.25">
      <c r="A295" s="8" t="s">
        <v>630</v>
      </c>
      <c r="B295" s="9" t="s">
        <v>73</v>
      </c>
      <c r="C295" s="9" t="s">
        <v>59</v>
      </c>
      <c r="D295" s="9">
        <v>9</v>
      </c>
      <c r="E295" s="9">
        <v>251.25</v>
      </c>
      <c r="F295" s="9">
        <v>2261.25</v>
      </c>
      <c r="G295">
        <f t="shared" si="13"/>
        <v>2262</v>
      </c>
      <c r="H295" s="10">
        <v>45514</v>
      </c>
      <c r="I295" s="16" t="str">
        <f t="shared" si="14"/>
        <v>Saturday</v>
      </c>
      <c r="J295" s="9" t="s">
        <v>31</v>
      </c>
      <c r="K295" s="9" t="s">
        <v>14</v>
      </c>
      <c r="L295" s="9" t="s">
        <v>631</v>
      </c>
      <c r="M295" s="16" t="str">
        <f t="shared" si="15"/>
        <v>high</v>
      </c>
    </row>
    <row r="296" spans="1:13" x14ac:dyDescent="0.25">
      <c r="A296" s="5" t="s">
        <v>632</v>
      </c>
      <c r="B296" s="6" t="s">
        <v>17</v>
      </c>
      <c r="C296" s="6" t="s">
        <v>12</v>
      </c>
      <c r="D296" s="6">
        <v>5</v>
      </c>
      <c r="E296" s="6">
        <v>10.44</v>
      </c>
      <c r="F296" s="6">
        <v>52.2</v>
      </c>
      <c r="G296">
        <f t="shared" si="13"/>
        <v>53</v>
      </c>
      <c r="H296" s="7">
        <v>45907</v>
      </c>
      <c r="I296" s="16" t="str">
        <f t="shared" si="14"/>
        <v>Sunday</v>
      </c>
      <c r="J296" s="6" t="s">
        <v>18</v>
      </c>
      <c r="K296" s="6" t="s">
        <v>37</v>
      </c>
      <c r="L296" s="6" t="s">
        <v>633</v>
      </c>
      <c r="M296" s="16" t="str">
        <f t="shared" si="15"/>
        <v>low</v>
      </c>
    </row>
    <row r="297" spans="1:13" x14ac:dyDescent="0.25">
      <c r="A297" s="8" t="s">
        <v>634</v>
      </c>
      <c r="B297" s="9" t="s">
        <v>250</v>
      </c>
      <c r="C297" s="9" t="s">
        <v>63</v>
      </c>
      <c r="D297" s="9">
        <v>9</v>
      </c>
      <c r="E297" s="9">
        <v>136.91999999999999</v>
      </c>
      <c r="F297" s="9">
        <v>1232.28</v>
      </c>
      <c r="G297">
        <f t="shared" si="13"/>
        <v>1233</v>
      </c>
      <c r="H297" s="10">
        <v>45657</v>
      </c>
      <c r="I297" s="16" t="str">
        <f t="shared" si="14"/>
        <v>Tuesday</v>
      </c>
      <c r="J297" s="9" t="s">
        <v>31</v>
      </c>
      <c r="K297" s="9" t="s">
        <v>14</v>
      </c>
      <c r="L297" s="9" t="s">
        <v>635</v>
      </c>
      <c r="M297" s="16" t="str">
        <f t="shared" si="15"/>
        <v>low</v>
      </c>
    </row>
    <row r="298" spans="1:13" x14ac:dyDescent="0.25">
      <c r="A298" s="5" t="s">
        <v>636</v>
      </c>
      <c r="B298" s="6" t="s">
        <v>110</v>
      </c>
      <c r="C298" s="6" t="s">
        <v>63</v>
      </c>
      <c r="D298" s="6">
        <v>2</v>
      </c>
      <c r="E298" s="6">
        <v>302.26</v>
      </c>
      <c r="F298" s="6">
        <v>604.52</v>
      </c>
      <c r="G298">
        <f t="shared" si="13"/>
        <v>605</v>
      </c>
      <c r="H298" s="7">
        <v>45747</v>
      </c>
      <c r="I298" s="16" t="str">
        <f t="shared" si="14"/>
        <v>Monday</v>
      </c>
      <c r="J298" s="6" t="s">
        <v>31</v>
      </c>
      <c r="K298" s="6" t="s">
        <v>14</v>
      </c>
      <c r="L298" s="6" t="s">
        <v>637</v>
      </c>
      <c r="M298" s="16" t="str">
        <f t="shared" si="15"/>
        <v>low</v>
      </c>
    </row>
    <row r="299" spans="1:13" x14ac:dyDescent="0.25">
      <c r="A299" s="8" t="s">
        <v>638</v>
      </c>
      <c r="B299" s="9" t="s">
        <v>22</v>
      </c>
      <c r="C299" s="9" t="s">
        <v>23</v>
      </c>
      <c r="D299" s="9">
        <v>1</v>
      </c>
      <c r="E299" s="9">
        <v>212.29</v>
      </c>
      <c r="F299" s="9">
        <v>212.29</v>
      </c>
      <c r="G299">
        <f t="shared" si="13"/>
        <v>213</v>
      </c>
      <c r="H299" s="10">
        <v>45402</v>
      </c>
      <c r="I299" s="16" t="str">
        <f t="shared" si="14"/>
        <v>Saturday</v>
      </c>
      <c r="J299" s="9" t="s">
        <v>31</v>
      </c>
      <c r="K299" s="9" t="s">
        <v>27</v>
      </c>
      <c r="L299" s="9" t="s">
        <v>639</v>
      </c>
      <c r="M299" s="16" t="str">
        <f t="shared" si="15"/>
        <v>low</v>
      </c>
    </row>
    <row r="300" spans="1:13" x14ac:dyDescent="0.25">
      <c r="A300" s="5" t="s">
        <v>640</v>
      </c>
      <c r="B300" s="6" t="s">
        <v>115</v>
      </c>
      <c r="C300" s="6" t="s">
        <v>55</v>
      </c>
      <c r="D300" s="6">
        <v>2</v>
      </c>
      <c r="E300" s="6">
        <v>87.31</v>
      </c>
      <c r="F300" s="6">
        <v>174.62</v>
      </c>
      <c r="G300">
        <f t="shared" si="13"/>
        <v>175</v>
      </c>
      <c r="H300" s="7">
        <v>45289</v>
      </c>
      <c r="I300" s="16" t="str">
        <f t="shared" si="14"/>
        <v>Friday</v>
      </c>
      <c r="J300" s="6" t="s">
        <v>48</v>
      </c>
      <c r="K300" s="6" t="s">
        <v>27</v>
      </c>
      <c r="L300" s="6" t="s">
        <v>641</v>
      </c>
      <c r="M300" s="16" t="str">
        <f t="shared" si="15"/>
        <v>low</v>
      </c>
    </row>
    <row r="301" spans="1:13" x14ac:dyDescent="0.25">
      <c r="A301" s="8" t="s">
        <v>642</v>
      </c>
      <c r="B301" s="9" t="s">
        <v>11</v>
      </c>
      <c r="C301" s="9" t="s">
        <v>12</v>
      </c>
      <c r="D301" s="9">
        <v>5</v>
      </c>
      <c r="E301" s="9">
        <v>303.56</v>
      </c>
      <c r="F301" s="9">
        <v>1517.8</v>
      </c>
      <c r="G301">
        <f t="shared" si="13"/>
        <v>1518</v>
      </c>
      <c r="H301" s="10">
        <v>45720</v>
      </c>
      <c r="I301" s="16" t="str">
        <f t="shared" si="14"/>
        <v>Tuesday</v>
      </c>
      <c r="J301" s="9" t="s">
        <v>13</v>
      </c>
      <c r="K301" s="9" t="s">
        <v>37</v>
      </c>
      <c r="L301" s="9" t="s">
        <v>643</v>
      </c>
      <c r="M301" s="16" t="str">
        <f t="shared" si="15"/>
        <v>low</v>
      </c>
    </row>
    <row r="302" spans="1:13" x14ac:dyDescent="0.25">
      <c r="A302" s="5" t="s">
        <v>644</v>
      </c>
      <c r="B302" s="6" t="s">
        <v>51</v>
      </c>
      <c r="C302" s="6" t="s">
        <v>44</v>
      </c>
      <c r="D302" s="6">
        <v>5</v>
      </c>
      <c r="E302" s="6">
        <v>419.35</v>
      </c>
      <c r="F302" s="6">
        <v>2096.75</v>
      </c>
      <c r="G302">
        <f t="shared" si="13"/>
        <v>2097</v>
      </c>
      <c r="H302" s="7">
        <v>44937</v>
      </c>
      <c r="I302" s="16" t="str">
        <f t="shared" si="14"/>
        <v>Wednesday</v>
      </c>
      <c r="J302" s="6" t="s">
        <v>31</v>
      </c>
      <c r="K302" s="6" t="s">
        <v>37</v>
      </c>
      <c r="L302" s="6" t="s">
        <v>645</v>
      </c>
      <c r="M302" s="16" t="str">
        <f t="shared" si="15"/>
        <v>high</v>
      </c>
    </row>
    <row r="303" spans="1:13" x14ac:dyDescent="0.25">
      <c r="A303" s="8" t="s">
        <v>646</v>
      </c>
      <c r="B303" s="9" t="s">
        <v>78</v>
      </c>
      <c r="C303" s="9" t="s">
        <v>44</v>
      </c>
      <c r="D303" s="9">
        <v>4</v>
      </c>
      <c r="E303" s="9">
        <v>360.93</v>
      </c>
      <c r="F303" s="9">
        <v>1443.72</v>
      </c>
      <c r="G303">
        <f t="shared" si="13"/>
        <v>1444</v>
      </c>
      <c r="H303" s="10">
        <v>45733</v>
      </c>
      <c r="I303" s="16" t="str">
        <f t="shared" si="14"/>
        <v>Monday</v>
      </c>
      <c r="J303" s="9" t="s">
        <v>18</v>
      </c>
      <c r="K303" s="9" t="s">
        <v>19</v>
      </c>
      <c r="L303" s="9" t="s">
        <v>647</v>
      </c>
      <c r="M303" s="16" t="str">
        <f t="shared" si="15"/>
        <v>low</v>
      </c>
    </row>
    <row r="304" spans="1:13" x14ac:dyDescent="0.25">
      <c r="A304" s="5" t="s">
        <v>648</v>
      </c>
      <c r="B304" s="6" t="s">
        <v>140</v>
      </c>
      <c r="C304" s="6" t="s">
        <v>59</v>
      </c>
      <c r="D304" s="6">
        <v>2</v>
      </c>
      <c r="E304" s="6">
        <v>201.34</v>
      </c>
      <c r="F304" s="6">
        <v>402.68</v>
      </c>
      <c r="G304">
        <f t="shared" si="13"/>
        <v>403</v>
      </c>
      <c r="H304" s="7">
        <v>45590</v>
      </c>
      <c r="I304" s="16" t="str">
        <f t="shared" si="14"/>
        <v>Friday</v>
      </c>
      <c r="J304" s="6" t="s">
        <v>13</v>
      </c>
      <c r="K304" s="6" t="s">
        <v>19</v>
      </c>
      <c r="L304" s="6" t="s">
        <v>649</v>
      </c>
      <c r="M304" s="16" t="str">
        <f t="shared" si="15"/>
        <v>low</v>
      </c>
    </row>
    <row r="305" spans="1:13" x14ac:dyDescent="0.25">
      <c r="A305" s="8" t="s">
        <v>650</v>
      </c>
      <c r="B305" s="9" t="s">
        <v>81</v>
      </c>
      <c r="C305" s="9" t="s">
        <v>55</v>
      </c>
      <c r="D305" s="9">
        <v>6</v>
      </c>
      <c r="E305" s="9">
        <v>367.62</v>
      </c>
      <c r="F305" s="9">
        <v>2205.7199999999998</v>
      </c>
      <c r="G305">
        <f t="shared" si="13"/>
        <v>2206</v>
      </c>
      <c r="H305" s="10">
        <v>45215</v>
      </c>
      <c r="I305" s="16" t="str">
        <f t="shared" si="14"/>
        <v>Monday</v>
      </c>
      <c r="J305" s="9" t="s">
        <v>18</v>
      </c>
      <c r="K305" s="9" t="s">
        <v>37</v>
      </c>
      <c r="L305" s="9" t="s">
        <v>651</v>
      </c>
      <c r="M305" s="16" t="str">
        <f t="shared" si="15"/>
        <v>high</v>
      </c>
    </row>
    <row r="306" spans="1:13" x14ac:dyDescent="0.25">
      <c r="A306" s="5" t="s">
        <v>652</v>
      </c>
      <c r="B306" s="6" t="s">
        <v>22</v>
      </c>
      <c r="C306" s="6" t="s">
        <v>23</v>
      </c>
      <c r="D306" s="6">
        <v>4</v>
      </c>
      <c r="E306" s="6">
        <v>85.2</v>
      </c>
      <c r="F306" s="6">
        <v>340.8</v>
      </c>
      <c r="G306">
        <f t="shared" si="13"/>
        <v>341</v>
      </c>
      <c r="H306" s="7">
        <v>45170</v>
      </c>
      <c r="I306" s="16" t="str">
        <f t="shared" si="14"/>
        <v>Friday</v>
      </c>
      <c r="J306" s="6" t="s">
        <v>18</v>
      </c>
      <c r="K306" s="6" t="s">
        <v>19</v>
      </c>
      <c r="L306" s="6" t="s">
        <v>653</v>
      </c>
      <c r="M306" s="16" t="str">
        <f t="shared" si="15"/>
        <v>low</v>
      </c>
    </row>
    <row r="307" spans="1:13" x14ac:dyDescent="0.25">
      <c r="A307" s="8" t="s">
        <v>654</v>
      </c>
      <c r="B307" s="9" t="s">
        <v>34</v>
      </c>
      <c r="C307" s="9" t="s">
        <v>23</v>
      </c>
      <c r="D307" s="9">
        <v>2</v>
      </c>
      <c r="E307" s="9">
        <v>313.55</v>
      </c>
      <c r="F307" s="9">
        <v>627.1</v>
      </c>
      <c r="G307">
        <f t="shared" si="13"/>
        <v>628</v>
      </c>
      <c r="H307" s="10">
        <v>45376</v>
      </c>
      <c r="I307" s="16" t="str">
        <f t="shared" si="14"/>
        <v>Monday</v>
      </c>
      <c r="J307" s="9" t="s">
        <v>48</v>
      </c>
      <c r="K307" s="9" t="s">
        <v>27</v>
      </c>
      <c r="L307" s="9" t="s">
        <v>655</v>
      </c>
      <c r="M307" s="16" t="str">
        <f t="shared" si="15"/>
        <v>low</v>
      </c>
    </row>
    <row r="308" spans="1:13" x14ac:dyDescent="0.25">
      <c r="A308" s="5" t="s">
        <v>656</v>
      </c>
      <c r="B308" s="6" t="s">
        <v>140</v>
      </c>
      <c r="C308" s="6" t="s">
        <v>59</v>
      </c>
      <c r="D308" s="6">
        <v>9</v>
      </c>
      <c r="E308" s="6">
        <v>42.19</v>
      </c>
      <c r="F308" s="6">
        <v>379.71</v>
      </c>
      <c r="G308">
        <f t="shared" si="13"/>
        <v>380</v>
      </c>
      <c r="H308" s="7">
        <v>44943</v>
      </c>
      <c r="I308" s="16" t="str">
        <f t="shared" si="14"/>
        <v>Tuesday</v>
      </c>
      <c r="J308" s="6" t="s">
        <v>48</v>
      </c>
      <c r="K308" s="6" t="s">
        <v>27</v>
      </c>
      <c r="L308" s="6" t="s">
        <v>657</v>
      </c>
      <c r="M308" s="16" t="str">
        <f t="shared" si="15"/>
        <v>low</v>
      </c>
    </row>
    <row r="309" spans="1:13" x14ac:dyDescent="0.25">
      <c r="A309" s="8" t="s">
        <v>658</v>
      </c>
      <c r="B309" s="9" t="s">
        <v>115</v>
      </c>
      <c r="C309" s="9" t="s">
        <v>55</v>
      </c>
      <c r="D309" s="9">
        <v>9</v>
      </c>
      <c r="E309" s="9">
        <v>353.94</v>
      </c>
      <c r="F309" s="9">
        <v>3185.46</v>
      </c>
      <c r="G309">
        <f t="shared" si="13"/>
        <v>3186</v>
      </c>
      <c r="H309" s="10">
        <v>45542</v>
      </c>
      <c r="I309" s="16" t="str">
        <f t="shared" si="14"/>
        <v>Saturday</v>
      </c>
      <c r="J309" s="9" t="s">
        <v>48</v>
      </c>
      <c r="K309" s="9" t="s">
        <v>27</v>
      </c>
      <c r="L309" s="9" t="s">
        <v>659</v>
      </c>
      <c r="M309" s="16" t="str">
        <f t="shared" si="15"/>
        <v>high</v>
      </c>
    </row>
    <row r="310" spans="1:13" x14ac:dyDescent="0.25">
      <c r="A310" s="5" t="s">
        <v>660</v>
      </c>
      <c r="B310" s="6" t="s">
        <v>30</v>
      </c>
      <c r="C310" s="6" t="s">
        <v>12</v>
      </c>
      <c r="D310" s="6">
        <v>9</v>
      </c>
      <c r="E310" s="6">
        <v>126.97</v>
      </c>
      <c r="F310" s="6">
        <v>1142.73</v>
      </c>
      <c r="G310">
        <f t="shared" si="13"/>
        <v>1143</v>
      </c>
      <c r="H310" s="7">
        <v>45057</v>
      </c>
      <c r="I310" s="16" t="str">
        <f t="shared" si="14"/>
        <v>Thursday</v>
      </c>
      <c r="J310" s="6" t="s">
        <v>48</v>
      </c>
      <c r="K310" s="6" t="s">
        <v>37</v>
      </c>
      <c r="L310" s="6" t="s">
        <v>661</v>
      </c>
      <c r="M310" s="16" t="str">
        <f t="shared" si="15"/>
        <v>low</v>
      </c>
    </row>
    <row r="311" spans="1:13" x14ac:dyDescent="0.25">
      <c r="A311" s="8" t="s">
        <v>662</v>
      </c>
      <c r="B311" s="9" t="s">
        <v>40</v>
      </c>
      <c r="C311" s="9" t="s">
        <v>12</v>
      </c>
      <c r="D311" s="9">
        <v>3</v>
      </c>
      <c r="E311" s="9">
        <v>139.71</v>
      </c>
      <c r="F311" s="9">
        <v>419.13</v>
      </c>
      <c r="G311">
        <f t="shared" si="13"/>
        <v>420</v>
      </c>
      <c r="H311" s="10">
        <v>45792</v>
      </c>
      <c r="I311" s="16" t="str">
        <f t="shared" si="14"/>
        <v>Thursday</v>
      </c>
      <c r="J311" s="9" t="s">
        <v>18</v>
      </c>
      <c r="K311" s="9" t="s">
        <v>19</v>
      </c>
      <c r="L311" s="9" t="s">
        <v>663</v>
      </c>
      <c r="M311" s="16" t="str">
        <f t="shared" si="15"/>
        <v>low</v>
      </c>
    </row>
    <row r="312" spans="1:13" x14ac:dyDescent="0.25">
      <c r="A312" s="5" t="s">
        <v>664</v>
      </c>
      <c r="B312" s="6" t="s">
        <v>68</v>
      </c>
      <c r="C312" s="6" t="s">
        <v>63</v>
      </c>
      <c r="D312" s="6">
        <v>3</v>
      </c>
      <c r="E312" s="6">
        <v>160.72999999999999</v>
      </c>
      <c r="F312" s="6">
        <v>482.19</v>
      </c>
      <c r="G312">
        <f t="shared" si="13"/>
        <v>483</v>
      </c>
      <c r="H312" s="7">
        <v>45881</v>
      </c>
      <c r="I312" s="16" t="str">
        <f t="shared" si="14"/>
        <v>Tuesday</v>
      </c>
      <c r="J312" s="6" t="s">
        <v>48</v>
      </c>
      <c r="K312" s="6" t="s">
        <v>37</v>
      </c>
      <c r="L312" s="6" t="s">
        <v>665</v>
      </c>
      <c r="M312" s="16" t="str">
        <f t="shared" si="15"/>
        <v>low</v>
      </c>
    </row>
    <row r="313" spans="1:13" x14ac:dyDescent="0.25">
      <c r="A313" s="8" t="s">
        <v>666</v>
      </c>
      <c r="B313" s="9" t="s">
        <v>47</v>
      </c>
      <c r="C313" s="9" t="s">
        <v>44</v>
      </c>
      <c r="D313" s="9">
        <v>1</v>
      </c>
      <c r="E313" s="9">
        <v>72.73</v>
      </c>
      <c r="F313" s="9">
        <v>72.73</v>
      </c>
      <c r="G313">
        <f t="shared" si="13"/>
        <v>73</v>
      </c>
      <c r="H313" s="10">
        <v>45256</v>
      </c>
      <c r="I313" s="16" t="str">
        <f t="shared" si="14"/>
        <v>Sunday</v>
      </c>
      <c r="J313" s="9" t="s">
        <v>13</v>
      </c>
      <c r="K313" s="9" t="s">
        <v>14</v>
      </c>
      <c r="L313" s="9" t="s">
        <v>667</v>
      </c>
      <c r="M313" s="16" t="str">
        <f t="shared" si="15"/>
        <v>low</v>
      </c>
    </row>
    <row r="314" spans="1:13" x14ac:dyDescent="0.25">
      <c r="A314" s="5" t="s">
        <v>668</v>
      </c>
      <c r="B314" s="6" t="s">
        <v>68</v>
      </c>
      <c r="C314" s="6" t="s">
        <v>63</v>
      </c>
      <c r="D314" s="6">
        <v>7</v>
      </c>
      <c r="E314" s="6">
        <v>263.04000000000002</v>
      </c>
      <c r="F314" s="6">
        <v>1841.28</v>
      </c>
      <c r="G314">
        <f t="shared" si="13"/>
        <v>1842</v>
      </c>
      <c r="H314" s="7">
        <v>44938</v>
      </c>
      <c r="I314" s="16" t="str">
        <f t="shared" si="14"/>
        <v>Thursday</v>
      </c>
      <c r="J314" s="6" t="s">
        <v>18</v>
      </c>
      <c r="K314" s="6" t="s">
        <v>19</v>
      </c>
      <c r="L314" s="6" t="s">
        <v>669</v>
      </c>
      <c r="M314" s="16" t="str">
        <f t="shared" si="15"/>
        <v>low</v>
      </c>
    </row>
    <row r="315" spans="1:13" x14ac:dyDescent="0.25">
      <c r="A315" s="8" t="s">
        <v>670</v>
      </c>
      <c r="B315" s="9" t="s">
        <v>26</v>
      </c>
      <c r="C315" s="9" t="s">
        <v>23</v>
      </c>
      <c r="D315" s="9">
        <v>8</v>
      </c>
      <c r="E315" s="9">
        <v>380.4</v>
      </c>
      <c r="F315" s="9">
        <v>3043.2</v>
      </c>
      <c r="G315">
        <f t="shared" si="13"/>
        <v>3044</v>
      </c>
      <c r="H315" s="10">
        <v>45917</v>
      </c>
      <c r="I315" s="16" t="str">
        <f t="shared" si="14"/>
        <v>Wednesday</v>
      </c>
      <c r="J315" s="9" t="s">
        <v>18</v>
      </c>
      <c r="K315" s="9" t="s">
        <v>14</v>
      </c>
      <c r="L315" s="9" t="s">
        <v>671</v>
      </c>
      <c r="M315" s="16" t="str">
        <f t="shared" si="15"/>
        <v>high</v>
      </c>
    </row>
    <row r="316" spans="1:13" x14ac:dyDescent="0.25">
      <c r="A316" s="5" t="s">
        <v>672</v>
      </c>
      <c r="B316" s="6" t="s">
        <v>43</v>
      </c>
      <c r="C316" s="6" t="s">
        <v>44</v>
      </c>
      <c r="D316" s="6">
        <v>1</v>
      </c>
      <c r="E316" s="6">
        <v>331.1</v>
      </c>
      <c r="F316" s="6">
        <v>331.1</v>
      </c>
      <c r="G316">
        <f t="shared" si="13"/>
        <v>332</v>
      </c>
      <c r="H316" s="7">
        <v>45300</v>
      </c>
      <c r="I316" s="16" t="str">
        <f t="shared" si="14"/>
        <v>Tuesday</v>
      </c>
      <c r="J316" s="6" t="s">
        <v>48</v>
      </c>
      <c r="K316" s="6" t="s">
        <v>27</v>
      </c>
      <c r="L316" s="6" t="s">
        <v>673</v>
      </c>
      <c r="M316" s="16" t="str">
        <f t="shared" si="15"/>
        <v>low</v>
      </c>
    </row>
    <row r="317" spans="1:13" x14ac:dyDescent="0.25">
      <c r="A317" s="8" t="s">
        <v>674</v>
      </c>
      <c r="B317" s="9" t="s">
        <v>84</v>
      </c>
      <c r="C317" s="9" t="s">
        <v>23</v>
      </c>
      <c r="D317" s="9">
        <v>6</v>
      </c>
      <c r="E317" s="9">
        <v>490.39</v>
      </c>
      <c r="F317" s="9">
        <v>2942.34</v>
      </c>
      <c r="G317">
        <f t="shared" si="13"/>
        <v>2943</v>
      </c>
      <c r="H317" s="10">
        <v>45392</v>
      </c>
      <c r="I317" s="16" t="str">
        <f t="shared" si="14"/>
        <v>Wednesday</v>
      </c>
      <c r="J317" s="9" t="s">
        <v>13</v>
      </c>
      <c r="K317" s="9" t="s">
        <v>14</v>
      </c>
      <c r="L317" s="9" t="s">
        <v>675</v>
      </c>
      <c r="M317" s="16" t="str">
        <f t="shared" si="15"/>
        <v>high</v>
      </c>
    </row>
    <row r="318" spans="1:13" x14ac:dyDescent="0.25">
      <c r="A318" s="5" t="s">
        <v>676</v>
      </c>
      <c r="B318" s="6" t="s">
        <v>159</v>
      </c>
      <c r="C318" s="6" t="s">
        <v>63</v>
      </c>
      <c r="D318" s="6">
        <v>9</v>
      </c>
      <c r="E318" s="6">
        <v>472.31</v>
      </c>
      <c r="F318" s="6">
        <v>4250.79</v>
      </c>
      <c r="G318">
        <f t="shared" si="13"/>
        <v>4251</v>
      </c>
      <c r="H318" s="7">
        <v>44973</v>
      </c>
      <c r="I318" s="16" t="str">
        <f t="shared" si="14"/>
        <v>Thursday</v>
      </c>
      <c r="J318" s="6" t="s">
        <v>13</v>
      </c>
      <c r="K318" s="6" t="s">
        <v>19</v>
      </c>
      <c r="L318" s="6" t="s">
        <v>677</v>
      </c>
      <c r="M318" s="16" t="str">
        <f t="shared" si="15"/>
        <v>high</v>
      </c>
    </row>
    <row r="319" spans="1:13" x14ac:dyDescent="0.25">
      <c r="A319" s="8" t="s">
        <v>678</v>
      </c>
      <c r="B319" s="9" t="s">
        <v>34</v>
      </c>
      <c r="C319" s="9" t="s">
        <v>23</v>
      </c>
      <c r="D319" s="9">
        <v>7</v>
      </c>
      <c r="E319" s="9">
        <v>499.68</v>
      </c>
      <c r="F319" s="9">
        <v>3497.76</v>
      </c>
      <c r="G319">
        <f t="shared" si="13"/>
        <v>3498</v>
      </c>
      <c r="H319" s="10">
        <v>45720</v>
      </c>
      <c r="I319" s="16" t="str">
        <f t="shared" si="14"/>
        <v>Tuesday</v>
      </c>
      <c r="J319" s="9" t="s">
        <v>18</v>
      </c>
      <c r="K319" s="9" t="s">
        <v>27</v>
      </c>
      <c r="L319" s="9" t="s">
        <v>679</v>
      </c>
      <c r="M319" s="16" t="str">
        <f t="shared" si="15"/>
        <v>high</v>
      </c>
    </row>
    <row r="320" spans="1:13" x14ac:dyDescent="0.25">
      <c r="A320" s="5" t="s">
        <v>680</v>
      </c>
      <c r="B320" s="6" t="s">
        <v>54</v>
      </c>
      <c r="C320" s="6" t="s">
        <v>55</v>
      </c>
      <c r="D320" s="6">
        <v>6</v>
      </c>
      <c r="E320" s="6">
        <v>458.17</v>
      </c>
      <c r="F320" s="6">
        <v>2749.02</v>
      </c>
      <c r="G320">
        <f t="shared" si="13"/>
        <v>2750</v>
      </c>
      <c r="H320" s="7">
        <v>45708</v>
      </c>
      <c r="I320" s="16" t="str">
        <f t="shared" si="14"/>
        <v>Thursday</v>
      </c>
      <c r="J320" s="6" t="s">
        <v>31</v>
      </c>
      <c r="K320" s="6" t="s">
        <v>19</v>
      </c>
      <c r="L320" s="6" t="s">
        <v>681</v>
      </c>
      <c r="M320" s="16" t="str">
        <f t="shared" si="15"/>
        <v>high</v>
      </c>
    </row>
    <row r="321" spans="1:13" x14ac:dyDescent="0.25">
      <c r="A321" s="8" t="s">
        <v>682</v>
      </c>
      <c r="B321" s="9" t="s">
        <v>54</v>
      </c>
      <c r="C321" s="9" t="s">
        <v>55</v>
      </c>
      <c r="D321" s="9">
        <v>5</v>
      </c>
      <c r="E321" s="9">
        <v>366.86</v>
      </c>
      <c r="F321" s="9">
        <v>1834.3</v>
      </c>
      <c r="G321">
        <f t="shared" si="13"/>
        <v>1835</v>
      </c>
      <c r="H321" s="10">
        <v>45809</v>
      </c>
      <c r="I321" s="16" t="str">
        <f t="shared" si="14"/>
        <v>Sunday</v>
      </c>
      <c r="J321" s="9" t="s">
        <v>13</v>
      </c>
      <c r="K321" s="9" t="s">
        <v>27</v>
      </c>
      <c r="L321" s="9" t="s">
        <v>499</v>
      </c>
      <c r="M321" s="16" t="str">
        <f t="shared" si="15"/>
        <v>low</v>
      </c>
    </row>
    <row r="322" spans="1:13" x14ac:dyDescent="0.25">
      <c r="A322" s="5" t="s">
        <v>683</v>
      </c>
      <c r="B322" s="6" t="s">
        <v>68</v>
      </c>
      <c r="C322" s="6" t="s">
        <v>63</v>
      </c>
      <c r="D322" s="6">
        <v>2</v>
      </c>
      <c r="E322" s="6">
        <v>213.77</v>
      </c>
      <c r="F322" s="6">
        <v>427.54</v>
      </c>
      <c r="G322">
        <f t="shared" ref="G322:G385" si="16">ROUNDUP(F322,0)</f>
        <v>428</v>
      </c>
      <c r="H322" s="7">
        <v>45403</v>
      </c>
      <c r="I322" s="16" t="str">
        <f t="shared" ref="I322:I385" si="17">TEXT(H322,"dddd")</f>
        <v>Sunday</v>
      </c>
      <c r="J322" s="6" t="s">
        <v>18</v>
      </c>
      <c r="K322" s="6" t="s">
        <v>27</v>
      </c>
      <c r="L322" s="6" t="s">
        <v>684</v>
      </c>
      <c r="M322" s="16" t="str">
        <f t="shared" ref="M322:M385" si="18">IF(G322&gt;2000,"high","low")</f>
        <v>low</v>
      </c>
    </row>
    <row r="323" spans="1:13" x14ac:dyDescent="0.25">
      <c r="A323" s="8" t="s">
        <v>685</v>
      </c>
      <c r="B323" s="9" t="s">
        <v>164</v>
      </c>
      <c r="C323" s="9" t="s">
        <v>59</v>
      </c>
      <c r="D323" s="9">
        <v>4</v>
      </c>
      <c r="E323" s="9">
        <v>423.05</v>
      </c>
      <c r="F323" s="9">
        <v>1692.2</v>
      </c>
      <c r="G323">
        <f t="shared" si="16"/>
        <v>1693</v>
      </c>
      <c r="H323" s="10">
        <v>45328</v>
      </c>
      <c r="I323" s="16" t="str">
        <f t="shared" si="17"/>
        <v>Tuesday</v>
      </c>
      <c r="J323" s="9" t="s">
        <v>13</v>
      </c>
      <c r="K323" s="9" t="s">
        <v>14</v>
      </c>
      <c r="L323" s="9" t="s">
        <v>686</v>
      </c>
      <c r="M323" s="16" t="str">
        <f t="shared" si="18"/>
        <v>low</v>
      </c>
    </row>
    <row r="324" spans="1:13" x14ac:dyDescent="0.25">
      <c r="A324" s="5" t="s">
        <v>687</v>
      </c>
      <c r="B324" s="6" t="s">
        <v>87</v>
      </c>
      <c r="C324" s="6" t="s">
        <v>59</v>
      </c>
      <c r="D324" s="6">
        <v>7</v>
      </c>
      <c r="E324" s="6">
        <v>23.32</v>
      </c>
      <c r="F324" s="6">
        <v>163.24</v>
      </c>
      <c r="G324">
        <f t="shared" si="16"/>
        <v>164</v>
      </c>
      <c r="H324" s="7">
        <v>45085</v>
      </c>
      <c r="I324" s="16" t="str">
        <f t="shared" si="17"/>
        <v>Thursday</v>
      </c>
      <c r="J324" s="6" t="s">
        <v>48</v>
      </c>
      <c r="K324" s="6" t="s">
        <v>27</v>
      </c>
      <c r="L324" s="6" t="s">
        <v>688</v>
      </c>
      <c r="M324" s="16" t="str">
        <f t="shared" si="18"/>
        <v>low</v>
      </c>
    </row>
    <row r="325" spans="1:13" x14ac:dyDescent="0.25">
      <c r="A325" s="8" t="s">
        <v>689</v>
      </c>
      <c r="B325" s="9" t="s">
        <v>81</v>
      </c>
      <c r="C325" s="9" t="s">
        <v>55</v>
      </c>
      <c r="D325" s="9">
        <v>3</v>
      </c>
      <c r="E325" s="9">
        <v>282.54000000000002</v>
      </c>
      <c r="F325" s="9">
        <v>847.62</v>
      </c>
      <c r="G325">
        <f t="shared" si="16"/>
        <v>848</v>
      </c>
      <c r="H325" s="10">
        <v>45739</v>
      </c>
      <c r="I325" s="16" t="str">
        <f t="shared" si="17"/>
        <v>Sunday</v>
      </c>
      <c r="J325" s="9" t="s">
        <v>48</v>
      </c>
      <c r="K325" s="9" t="s">
        <v>14</v>
      </c>
      <c r="L325" s="9" t="s">
        <v>690</v>
      </c>
      <c r="M325" s="16" t="str">
        <f t="shared" si="18"/>
        <v>low</v>
      </c>
    </row>
    <row r="326" spans="1:13" x14ac:dyDescent="0.25">
      <c r="A326" s="5" t="s">
        <v>691</v>
      </c>
      <c r="B326" s="6" t="s">
        <v>62</v>
      </c>
      <c r="C326" s="6" t="s">
        <v>63</v>
      </c>
      <c r="D326" s="6">
        <v>5</v>
      </c>
      <c r="E326" s="6">
        <v>267.48</v>
      </c>
      <c r="F326" s="6">
        <v>1337.4</v>
      </c>
      <c r="G326">
        <f t="shared" si="16"/>
        <v>1338</v>
      </c>
      <c r="H326" s="7">
        <v>45912</v>
      </c>
      <c r="I326" s="16" t="str">
        <f t="shared" si="17"/>
        <v>Friday</v>
      </c>
      <c r="J326" s="6" t="s">
        <v>31</v>
      </c>
      <c r="K326" s="6" t="s">
        <v>27</v>
      </c>
      <c r="L326" s="6" t="s">
        <v>692</v>
      </c>
      <c r="M326" s="16" t="str">
        <f t="shared" si="18"/>
        <v>low</v>
      </c>
    </row>
    <row r="327" spans="1:13" x14ac:dyDescent="0.25">
      <c r="A327" s="8" t="s">
        <v>693</v>
      </c>
      <c r="B327" s="9" t="s">
        <v>231</v>
      </c>
      <c r="C327" s="9" t="s">
        <v>55</v>
      </c>
      <c r="D327" s="9">
        <v>7</v>
      </c>
      <c r="E327" s="9">
        <v>37.35</v>
      </c>
      <c r="F327" s="9">
        <v>261.45</v>
      </c>
      <c r="G327">
        <f t="shared" si="16"/>
        <v>262</v>
      </c>
      <c r="H327" s="10">
        <v>45453</v>
      </c>
      <c r="I327" s="16" t="str">
        <f t="shared" si="17"/>
        <v>Monday</v>
      </c>
      <c r="J327" s="9" t="s">
        <v>18</v>
      </c>
      <c r="K327" s="9" t="s">
        <v>27</v>
      </c>
      <c r="L327" s="9" t="s">
        <v>694</v>
      </c>
      <c r="M327" s="16" t="str">
        <f t="shared" si="18"/>
        <v>low</v>
      </c>
    </row>
    <row r="328" spans="1:13" x14ac:dyDescent="0.25">
      <c r="A328" s="5" t="s">
        <v>695</v>
      </c>
      <c r="B328" s="6" t="s">
        <v>99</v>
      </c>
      <c r="C328" s="6" t="s">
        <v>55</v>
      </c>
      <c r="D328" s="6">
        <v>4</v>
      </c>
      <c r="E328" s="6">
        <v>396.41</v>
      </c>
      <c r="F328" s="6">
        <v>1585.64</v>
      </c>
      <c r="G328">
        <f t="shared" si="16"/>
        <v>1586</v>
      </c>
      <c r="H328" s="7">
        <v>45847</v>
      </c>
      <c r="I328" s="16" t="str">
        <f t="shared" si="17"/>
        <v>Wednesday</v>
      </c>
      <c r="J328" s="6" t="s">
        <v>31</v>
      </c>
      <c r="K328" s="6" t="s">
        <v>14</v>
      </c>
      <c r="L328" s="6" t="s">
        <v>696</v>
      </c>
      <c r="M328" s="16" t="str">
        <f t="shared" si="18"/>
        <v>low</v>
      </c>
    </row>
    <row r="329" spans="1:13" x14ac:dyDescent="0.25">
      <c r="A329" s="8" t="s">
        <v>697</v>
      </c>
      <c r="B329" s="9" t="s">
        <v>22</v>
      </c>
      <c r="C329" s="9" t="s">
        <v>23</v>
      </c>
      <c r="D329" s="9">
        <v>2</v>
      </c>
      <c r="E329" s="9">
        <v>262.48</v>
      </c>
      <c r="F329" s="9">
        <v>524.96</v>
      </c>
      <c r="G329">
        <f t="shared" si="16"/>
        <v>525</v>
      </c>
      <c r="H329" s="10">
        <v>45419</v>
      </c>
      <c r="I329" s="16" t="str">
        <f t="shared" si="17"/>
        <v>Tuesday</v>
      </c>
      <c r="J329" s="9" t="s">
        <v>13</v>
      </c>
      <c r="K329" s="9" t="s">
        <v>27</v>
      </c>
      <c r="L329" s="9" t="s">
        <v>698</v>
      </c>
      <c r="M329" s="16" t="str">
        <f t="shared" si="18"/>
        <v>low</v>
      </c>
    </row>
    <row r="330" spans="1:13" x14ac:dyDescent="0.25">
      <c r="A330" s="5" t="s">
        <v>699</v>
      </c>
      <c r="B330" s="6" t="s">
        <v>17</v>
      </c>
      <c r="C330" s="6" t="s">
        <v>12</v>
      </c>
      <c r="D330" s="6">
        <v>3</v>
      </c>
      <c r="E330" s="6">
        <v>435.7</v>
      </c>
      <c r="F330" s="6">
        <v>1307.0999999999999</v>
      </c>
      <c r="G330">
        <f t="shared" si="16"/>
        <v>1308</v>
      </c>
      <c r="H330" s="7">
        <v>45340</v>
      </c>
      <c r="I330" s="16" t="str">
        <f t="shared" si="17"/>
        <v>Sunday</v>
      </c>
      <c r="J330" s="6" t="s">
        <v>13</v>
      </c>
      <c r="K330" s="6" t="s">
        <v>27</v>
      </c>
      <c r="L330" s="6" t="s">
        <v>700</v>
      </c>
      <c r="M330" s="16" t="str">
        <f t="shared" si="18"/>
        <v>low</v>
      </c>
    </row>
    <row r="331" spans="1:13" x14ac:dyDescent="0.25">
      <c r="A331" s="8" t="s">
        <v>701</v>
      </c>
      <c r="B331" s="9" t="s">
        <v>40</v>
      </c>
      <c r="C331" s="9" t="s">
        <v>12</v>
      </c>
      <c r="D331" s="9">
        <v>7</v>
      </c>
      <c r="E331" s="9">
        <v>96.81</v>
      </c>
      <c r="F331" s="9">
        <v>677.67</v>
      </c>
      <c r="G331">
        <f t="shared" si="16"/>
        <v>678</v>
      </c>
      <c r="H331" s="10">
        <v>45200</v>
      </c>
      <c r="I331" s="16" t="str">
        <f t="shared" si="17"/>
        <v>Sunday</v>
      </c>
      <c r="J331" s="9" t="s">
        <v>31</v>
      </c>
      <c r="K331" s="9" t="s">
        <v>19</v>
      </c>
      <c r="L331" s="9" t="s">
        <v>702</v>
      </c>
      <c r="M331" s="16" t="str">
        <f t="shared" si="18"/>
        <v>low</v>
      </c>
    </row>
    <row r="332" spans="1:13" x14ac:dyDescent="0.25">
      <c r="A332" s="5" t="s">
        <v>703</v>
      </c>
      <c r="B332" s="6" t="s">
        <v>175</v>
      </c>
      <c r="C332" s="6" t="s">
        <v>12</v>
      </c>
      <c r="D332" s="6">
        <v>7</v>
      </c>
      <c r="E332" s="6">
        <v>9.6999999999999993</v>
      </c>
      <c r="F332" s="6">
        <v>67.900000000000006</v>
      </c>
      <c r="G332">
        <f t="shared" si="16"/>
        <v>68</v>
      </c>
      <c r="H332" s="7">
        <v>44955</v>
      </c>
      <c r="I332" s="16" t="str">
        <f t="shared" si="17"/>
        <v>Sunday</v>
      </c>
      <c r="J332" s="6" t="s">
        <v>13</v>
      </c>
      <c r="K332" s="6" t="s">
        <v>19</v>
      </c>
      <c r="L332" s="6" t="s">
        <v>704</v>
      </c>
      <c r="M332" s="16" t="str">
        <f t="shared" si="18"/>
        <v>low</v>
      </c>
    </row>
    <row r="333" spans="1:13" x14ac:dyDescent="0.25">
      <c r="A333" s="8" t="s">
        <v>705</v>
      </c>
      <c r="B333" s="9" t="s">
        <v>34</v>
      </c>
      <c r="C333" s="9" t="s">
        <v>23</v>
      </c>
      <c r="D333" s="9">
        <v>5</v>
      </c>
      <c r="E333" s="9">
        <v>242.49</v>
      </c>
      <c r="F333" s="9">
        <v>1212.45</v>
      </c>
      <c r="G333">
        <f t="shared" si="16"/>
        <v>1213</v>
      </c>
      <c r="H333" s="10">
        <v>45198</v>
      </c>
      <c r="I333" s="16" t="str">
        <f t="shared" si="17"/>
        <v>Friday</v>
      </c>
      <c r="J333" s="9" t="s">
        <v>13</v>
      </c>
      <c r="K333" s="9" t="s">
        <v>27</v>
      </c>
      <c r="L333" s="9" t="s">
        <v>706</v>
      </c>
      <c r="M333" s="16" t="str">
        <f t="shared" si="18"/>
        <v>low</v>
      </c>
    </row>
    <row r="334" spans="1:13" x14ac:dyDescent="0.25">
      <c r="A334" s="5" t="s">
        <v>707</v>
      </c>
      <c r="B334" s="6" t="s">
        <v>34</v>
      </c>
      <c r="C334" s="6" t="s">
        <v>23</v>
      </c>
      <c r="D334" s="6">
        <v>9</v>
      </c>
      <c r="E334" s="6">
        <v>385.3</v>
      </c>
      <c r="F334" s="6">
        <v>3467.7</v>
      </c>
      <c r="G334">
        <f t="shared" si="16"/>
        <v>3468</v>
      </c>
      <c r="H334" s="7">
        <v>45847</v>
      </c>
      <c r="I334" s="16" t="str">
        <f t="shared" si="17"/>
        <v>Wednesday</v>
      </c>
      <c r="J334" s="6" t="s">
        <v>48</v>
      </c>
      <c r="K334" s="6" t="s">
        <v>19</v>
      </c>
      <c r="L334" s="6" t="s">
        <v>708</v>
      </c>
      <c r="M334" s="16" t="str">
        <f t="shared" si="18"/>
        <v>high</v>
      </c>
    </row>
    <row r="335" spans="1:13" x14ac:dyDescent="0.25">
      <c r="A335" s="8" t="s">
        <v>709</v>
      </c>
      <c r="B335" s="9" t="s">
        <v>51</v>
      </c>
      <c r="C335" s="9" t="s">
        <v>44</v>
      </c>
      <c r="D335" s="9">
        <v>7</v>
      </c>
      <c r="E335" s="9">
        <v>263.64999999999998</v>
      </c>
      <c r="F335" s="9">
        <v>1845.55</v>
      </c>
      <c r="G335">
        <f t="shared" si="16"/>
        <v>1846</v>
      </c>
      <c r="H335" s="10">
        <v>45503</v>
      </c>
      <c r="I335" s="16" t="str">
        <f t="shared" si="17"/>
        <v>Tuesday</v>
      </c>
      <c r="J335" s="9" t="s">
        <v>48</v>
      </c>
      <c r="K335" s="9" t="s">
        <v>14</v>
      </c>
      <c r="L335" s="9" t="s">
        <v>710</v>
      </c>
      <c r="M335" s="16" t="str">
        <f t="shared" si="18"/>
        <v>low</v>
      </c>
    </row>
    <row r="336" spans="1:13" x14ac:dyDescent="0.25">
      <c r="A336" s="5" t="s">
        <v>711</v>
      </c>
      <c r="B336" s="6" t="s">
        <v>115</v>
      </c>
      <c r="C336" s="6" t="s">
        <v>55</v>
      </c>
      <c r="D336" s="6">
        <v>3</v>
      </c>
      <c r="E336" s="6">
        <v>236.32</v>
      </c>
      <c r="F336" s="6">
        <v>708.96</v>
      </c>
      <c r="G336">
        <f t="shared" si="16"/>
        <v>709</v>
      </c>
      <c r="H336" s="7">
        <v>45302</v>
      </c>
      <c r="I336" s="16" t="str">
        <f t="shared" si="17"/>
        <v>Thursday</v>
      </c>
      <c r="J336" s="6" t="s">
        <v>48</v>
      </c>
      <c r="K336" s="6" t="s">
        <v>19</v>
      </c>
      <c r="L336" s="6" t="s">
        <v>712</v>
      </c>
      <c r="M336" s="16" t="str">
        <f t="shared" si="18"/>
        <v>low</v>
      </c>
    </row>
    <row r="337" spans="1:13" x14ac:dyDescent="0.25">
      <c r="A337" s="8" t="s">
        <v>713</v>
      </c>
      <c r="B337" s="9" t="s">
        <v>231</v>
      </c>
      <c r="C337" s="9" t="s">
        <v>55</v>
      </c>
      <c r="D337" s="9">
        <v>4</v>
      </c>
      <c r="E337" s="9">
        <v>359.2</v>
      </c>
      <c r="F337" s="9">
        <v>1436.8</v>
      </c>
      <c r="G337">
        <f t="shared" si="16"/>
        <v>1437</v>
      </c>
      <c r="H337" s="10">
        <v>45219</v>
      </c>
      <c r="I337" s="16" t="str">
        <f t="shared" si="17"/>
        <v>Friday</v>
      </c>
      <c r="J337" s="9" t="s">
        <v>31</v>
      </c>
      <c r="K337" s="9" t="s">
        <v>19</v>
      </c>
      <c r="L337" s="9" t="s">
        <v>714</v>
      </c>
      <c r="M337" s="16" t="str">
        <f t="shared" si="18"/>
        <v>low</v>
      </c>
    </row>
    <row r="338" spans="1:13" x14ac:dyDescent="0.25">
      <c r="A338" s="5" t="s">
        <v>715</v>
      </c>
      <c r="B338" s="6" t="s">
        <v>87</v>
      </c>
      <c r="C338" s="6" t="s">
        <v>59</v>
      </c>
      <c r="D338" s="6">
        <v>1</v>
      </c>
      <c r="E338" s="6">
        <v>455.62</v>
      </c>
      <c r="F338" s="6">
        <v>455.62</v>
      </c>
      <c r="G338">
        <f t="shared" si="16"/>
        <v>456</v>
      </c>
      <c r="H338" s="7">
        <v>45901</v>
      </c>
      <c r="I338" s="16" t="str">
        <f t="shared" si="17"/>
        <v>Monday</v>
      </c>
      <c r="J338" s="6" t="s">
        <v>13</v>
      </c>
      <c r="K338" s="6" t="s">
        <v>14</v>
      </c>
      <c r="L338" s="6" t="s">
        <v>716</v>
      </c>
      <c r="M338" s="16" t="str">
        <f t="shared" si="18"/>
        <v>low</v>
      </c>
    </row>
    <row r="339" spans="1:13" x14ac:dyDescent="0.25">
      <c r="A339" s="8" t="s">
        <v>717</v>
      </c>
      <c r="B339" s="9" t="s">
        <v>17</v>
      </c>
      <c r="C339" s="9" t="s">
        <v>12</v>
      </c>
      <c r="D339" s="9">
        <v>1</v>
      </c>
      <c r="E339" s="9">
        <v>198.86</v>
      </c>
      <c r="F339" s="9">
        <v>198.86</v>
      </c>
      <c r="G339">
        <f t="shared" si="16"/>
        <v>199</v>
      </c>
      <c r="H339" s="10">
        <v>45890</v>
      </c>
      <c r="I339" s="16" t="str">
        <f t="shared" si="17"/>
        <v>Thursday</v>
      </c>
      <c r="J339" s="9" t="s">
        <v>48</v>
      </c>
      <c r="K339" s="9" t="s">
        <v>19</v>
      </c>
      <c r="L339" s="9" t="s">
        <v>718</v>
      </c>
      <c r="M339" s="16" t="str">
        <f t="shared" si="18"/>
        <v>low</v>
      </c>
    </row>
    <row r="340" spans="1:13" x14ac:dyDescent="0.25">
      <c r="A340" s="5" t="s">
        <v>719</v>
      </c>
      <c r="B340" s="6" t="s">
        <v>47</v>
      </c>
      <c r="C340" s="6" t="s">
        <v>44</v>
      </c>
      <c r="D340" s="6">
        <v>5</v>
      </c>
      <c r="E340" s="6">
        <v>49.26</v>
      </c>
      <c r="F340" s="6">
        <v>246.3</v>
      </c>
      <c r="G340">
        <f t="shared" si="16"/>
        <v>247</v>
      </c>
      <c r="H340" s="7">
        <v>45636</v>
      </c>
      <c r="I340" s="16" t="str">
        <f t="shared" si="17"/>
        <v>Tuesday</v>
      </c>
      <c r="J340" s="6" t="s">
        <v>13</v>
      </c>
      <c r="K340" s="6" t="s">
        <v>14</v>
      </c>
      <c r="L340" s="6" t="s">
        <v>720</v>
      </c>
      <c r="M340" s="16" t="str">
        <f t="shared" si="18"/>
        <v>low</v>
      </c>
    </row>
    <row r="341" spans="1:13" x14ac:dyDescent="0.25">
      <c r="A341" s="8" t="s">
        <v>721</v>
      </c>
      <c r="B341" s="9" t="s">
        <v>87</v>
      </c>
      <c r="C341" s="9" t="s">
        <v>59</v>
      </c>
      <c r="D341" s="9">
        <v>8</v>
      </c>
      <c r="E341" s="9">
        <v>442.68</v>
      </c>
      <c r="F341" s="9">
        <v>3541.44</v>
      </c>
      <c r="G341">
        <f t="shared" si="16"/>
        <v>3542</v>
      </c>
      <c r="H341" s="10">
        <v>45270</v>
      </c>
      <c r="I341" s="16" t="str">
        <f t="shared" si="17"/>
        <v>Sunday</v>
      </c>
      <c r="J341" s="9" t="s">
        <v>13</v>
      </c>
      <c r="K341" s="9" t="s">
        <v>19</v>
      </c>
      <c r="L341" s="9" t="s">
        <v>722</v>
      </c>
      <c r="M341" s="16" t="str">
        <f t="shared" si="18"/>
        <v>high</v>
      </c>
    </row>
    <row r="342" spans="1:13" x14ac:dyDescent="0.25">
      <c r="A342" s="5" t="s">
        <v>723</v>
      </c>
      <c r="B342" s="6" t="s">
        <v>81</v>
      </c>
      <c r="C342" s="6" t="s">
        <v>55</v>
      </c>
      <c r="D342" s="6">
        <v>2</v>
      </c>
      <c r="E342" s="6">
        <v>87.68</v>
      </c>
      <c r="F342" s="6">
        <v>175.36</v>
      </c>
      <c r="G342">
        <f t="shared" si="16"/>
        <v>176</v>
      </c>
      <c r="H342" s="7">
        <v>45490</v>
      </c>
      <c r="I342" s="16" t="str">
        <f t="shared" si="17"/>
        <v>Wednesday</v>
      </c>
      <c r="J342" s="6" t="s">
        <v>31</v>
      </c>
      <c r="K342" s="6" t="s">
        <v>14</v>
      </c>
      <c r="L342" s="6" t="s">
        <v>724</v>
      </c>
      <c r="M342" s="16" t="str">
        <f t="shared" si="18"/>
        <v>low</v>
      </c>
    </row>
    <row r="343" spans="1:13" x14ac:dyDescent="0.25">
      <c r="A343" s="8" t="s">
        <v>725</v>
      </c>
      <c r="B343" s="9" t="s">
        <v>22</v>
      </c>
      <c r="C343" s="9" t="s">
        <v>23</v>
      </c>
      <c r="D343" s="9">
        <v>8</v>
      </c>
      <c r="E343" s="9">
        <v>471.65</v>
      </c>
      <c r="F343" s="9">
        <v>3773.2</v>
      </c>
      <c r="G343">
        <f t="shared" si="16"/>
        <v>3774</v>
      </c>
      <c r="H343" s="10">
        <v>45501</v>
      </c>
      <c r="I343" s="16" t="str">
        <f t="shared" si="17"/>
        <v>Sunday</v>
      </c>
      <c r="J343" s="9" t="s">
        <v>31</v>
      </c>
      <c r="K343" s="9" t="s">
        <v>27</v>
      </c>
      <c r="L343" s="9" t="s">
        <v>726</v>
      </c>
      <c r="M343" s="16" t="str">
        <f t="shared" si="18"/>
        <v>high</v>
      </c>
    </row>
    <row r="344" spans="1:13" x14ac:dyDescent="0.25">
      <c r="A344" s="5" t="s">
        <v>727</v>
      </c>
      <c r="B344" s="6" t="s">
        <v>62</v>
      </c>
      <c r="C344" s="6" t="s">
        <v>63</v>
      </c>
      <c r="D344" s="6">
        <v>5</v>
      </c>
      <c r="E344" s="6">
        <v>416.17</v>
      </c>
      <c r="F344" s="6">
        <v>2080.85</v>
      </c>
      <c r="G344">
        <f t="shared" si="16"/>
        <v>2081</v>
      </c>
      <c r="H344" s="7">
        <v>45292</v>
      </c>
      <c r="I344" s="16" t="str">
        <f t="shared" si="17"/>
        <v>Monday</v>
      </c>
      <c r="J344" s="6" t="s">
        <v>13</v>
      </c>
      <c r="K344" s="6" t="s">
        <v>37</v>
      </c>
      <c r="L344" s="6" t="s">
        <v>728</v>
      </c>
      <c r="M344" s="16" t="str">
        <f t="shared" si="18"/>
        <v>high</v>
      </c>
    </row>
    <row r="345" spans="1:13" x14ac:dyDescent="0.25">
      <c r="A345" s="8" t="s">
        <v>729</v>
      </c>
      <c r="B345" s="9" t="s">
        <v>231</v>
      </c>
      <c r="C345" s="9" t="s">
        <v>55</v>
      </c>
      <c r="D345" s="9">
        <v>2</v>
      </c>
      <c r="E345" s="9">
        <v>195.12</v>
      </c>
      <c r="F345" s="9">
        <v>390.24</v>
      </c>
      <c r="G345">
        <f t="shared" si="16"/>
        <v>391</v>
      </c>
      <c r="H345" s="10">
        <v>45863</v>
      </c>
      <c r="I345" s="16" t="str">
        <f t="shared" si="17"/>
        <v>Friday</v>
      </c>
      <c r="J345" s="9" t="s">
        <v>31</v>
      </c>
      <c r="K345" s="9" t="s">
        <v>14</v>
      </c>
      <c r="L345" s="9" t="s">
        <v>730</v>
      </c>
      <c r="M345" s="16" t="str">
        <f t="shared" si="18"/>
        <v>low</v>
      </c>
    </row>
    <row r="346" spans="1:13" x14ac:dyDescent="0.25">
      <c r="A346" s="5" t="s">
        <v>731</v>
      </c>
      <c r="B346" s="6" t="s">
        <v>17</v>
      </c>
      <c r="C346" s="6" t="s">
        <v>12</v>
      </c>
      <c r="D346" s="6">
        <v>8</v>
      </c>
      <c r="E346" s="6">
        <v>178.31</v>
      </c>
      <c r="F346" s="6">
        <v>1426.48</v>
      </c>
      <c r="G346">
        <f t="shared" si="16"/>
        <v>1427</v>
      </c>
      <c r="H346" s="7">
        <v>45699</v>
      </c>
      <c r="I346" s="16" t="str">
        <f t="shared" si="17"/>
        <v>Tuesday</v>
      </c>
      <c r="J346" s="6" t="s">
        <v>48</v>
      </c>
      <c r="K346" s="6" t="s">
        <v>19</v>
      </c>
      <c r="L346" s="6" t="s">
        <v>732</v>
      </c>
      <c r="M346" s="16" t="str">
        <f t="shared" si="18"/>
        <v>low</v>
      </c>
    </row>
    <row r="347" spans="1:13" x14ac:dyDescent="0.25">
      <c r="A347" s="8" t="s">
        <v>733</v>
      </c>
      <c r="B347" s="9" t="s">
        <v>81</v>
      </c>
      <c r="C347" s="9" t="s">
        <v>55</v>
      </c>
      <c r="D347" s="9">
        <v>7</v>
      </c>
      <c r="E347" s="9">
        <v>442.47</v>
      </c>
      <c r="F347" s="9">
        <v>3097.29</v>
      </c>
      <c r="G347">
        <f t="shared" si="16"/>
        <v>3098</v>
      </c>
      <c r="H347" s="10">
        <v>45025</v>
      </c>
      <c r="I347" s="16" t="str">
        <f t="shared" si="17"/>
        <v>Sunday</v>
      </c>
      <c r="J347" s="9" t="s">
        <v>18</v>
      </c>
      <c r="K347" s="9" t="s">
        <v>27</v>
      </c>
      <c r="L347" s="9" t="s">
        <v>734</v>
      </c>
      <c r="M347" s="16" t="str">
        <f t="shared" si="18"/>
        <v>high</v>
      </c>
    </row>
    <row r="348" spans="1:13" x14ac:dyDescent="0.25">
      <c r="A348" s="5" t="s">
        <v>735</v>
      </c>
      <c r="B348" s="6" t="s">
        <v>22</v>
      </c>
      <c r="C348" s="6" t="s">
        <v>23</v>
      </c>
      <c r="D348" s="6">
        <v>1</v>
      </c>
      <c r="E348" s="6">
        <v>91.08</v>
      </c>
      <c r="F348" s="6">
        <v>91.08</v>
      </c>
      <c r="G348">
        <f t="shared" si="16"/>
        <v>92</v>
      </c>
      <c r="H348" s="7">
        <v>45416</v>
      </c>
      <c r="I348" s="16" t="str">
        <f t="shared" si="17"/>
        <v>Saturday</v>
      </c>
      <c r="J348" s="6" t="s">
        <v>18</v>
      </c>
      <c r="K348" s="6" t="s">
        <v>14</v>
      </c>
      <c r="L348" s="6" t="s">
        <v>736</v>
      </c>
      <c r="M348" s="16" t="str">
        <f t="shared" si="18"/>
        <v>low</v>
      </c>
    </row>
    <row r="349" spans="1:13" x14ac:dyDescent="0.25">
      <c r="A349" s="8" t="s">
        <v>737</v>
      </c>
      <c r="B349" s="9" t="s">
        <v>87</v>
      </c>
      <c r="C349" s="9" t="s">
        <v>59</v>
      </c>
      <c r="D349" s="9">
        <v>2</v>
      </c>
      <c r="E349" s="9">
        <v>248.14</v>
      </c>
      <c r="F349" s="9">
        <v>496.28</v>
      </c>
      <c r="G349">
        <f t="shared" si="16"/>
        <v>497</v>
      </c>
      <c r="H349" s="10">
        <v>45071</v>
      </c>
      <c r="I349" s="16" t="str">
        <f t="shared" si="17"/>
        <v>Thursday</v>
      </c>
      <c r="J349" s="9" t="s">
        <v>48</v>
      </c>
      <c r="K349" s="9" t="s">
        <v>19</v>
      </c>
      <c r="L349" s="9" t="s">
        <v>738</v>
      </c>
      <c r="M349" s="16" t="str">
        <f t="shared" si="18"/>
        <v>low</v>
      </c>
    </row>
    <row r="350" spans="1:13" x14ac:dyDescent="0.25">
      <c r="A350" s="5" t="s">
        <v>739</v>
      </c>
      <c r="B350" s="6" t="s">
        <v>51</v>
      </c>
      <c r="C350" s="6" t="s">
        <v>44</v>
      </c>
      <c r="D350" s="6">
        <v>3</v>
      </c>
      <c r="E350" s="6">
        <v>116.1</v>
      </c>
      <c r="F350" s="6">
        <v>348.3</v>
      </c>
      <c r="G350">
        <f t="shared" si="16"/>
        <v>349</v>
      </c>
      <c r="H350" s="7">
        <v>45046</v>
      </c>
      <c r="I350" s="16" t="str">
        <f t="shared" si="17"/>
        <v>Sunday</v>
      </c>
      <c r="J350" s="6" t="s">
        <v>13</v>
      </c>
      <c r="K350" s="6" t="s">
        <v>14</v>
      </c>
      <c r="L350" s="6" t="s">
        <v>740</v>
      </c>
      <c r="M350" s="16" t="str">
        <f t="shared" si="18"/>
        <v>low</v>
      </c>
    </row>
    <row r="351" spans="1:13" x14ac:dyDescent="0.25">
      <c r="A351" s="8" t="s">
        <v>741</v>
      </c>
      <c r="B351" s="9" t="s">
        <v>140</v>
      </c>
      <c r="C351" s="9" t="s">
        <v>59</v>
      </c>
      <c r="D351" s="9">
        <v>9</v>
      </c>
      <c r="E351" s="9">
        <v>298.51</v>
      </c>
      <c r="F351" s="9">
        <v>2686.59</v>
      </c>
      <c r="G351">
        <f t="shared" si="16"/>
        <v>2687</v>
      </c>
      <c r="H351" s="10">
        <v>45836</v>
      </c>
      <c r="I351" s="16" t="str">
        <f t="shared" si="17"/>
        <v>Saturday</v>
      </c>
      <c r="J351" s="9" t="s">
        <v>13</v>
      </c>
      <c r="K351" s="9" t="s">
        <v>14</v>
      </c>
      <c r="L351" s="9" t="s">
        <v>742</v>
      </c>
      <c r="M351" s="16" t="str">
        <f t="shared" si="18"/>
        <v>high</v>
      </c>
    </row>
    <row r="352" spans="1:13" x14ac:dyDescent="0.25">
      <c r="A352" s="5" t="s">
        <v>743</v>
      </c>
      <c r="B352" s="6" t="s">
        <v>51</v>
      </c>
      <c r="C352" s="6" t="s">
        <v>44</v>
      </c>
      <c r="D352" s="6">
        <v>2</v>
      </c>
      <c r="E352" s="6">
        <v>231.43</v>
      </c>
      <c r="F352" s="6">
        <v>462.86</v>
      </c>
      <c r="G352">
        <f t="shared" si="16"/>
        <v>463</v>
      </c>
      <c r="H352" s="7">
        <v>45878</v>
      </c>
      <c r="I352" s="16" t="str">
        <f t="shared" si="17"/>
        <v>Saturday</v>
      </c>
      <c r="J352" s="6" t="s">
        <v>31</v>
      </c>
      <c r="K352" s="6" t="s">
        <v>19</v>
      </c>
      <c r="L352" s="6" t="s">
        <v>744</v>
      </c>
      <c r="M352" s="16" t="str">
        <f t="shared" si="18"/>
        <v>low</v>
      </c>
    </row>
    <row r="353" spans="1:13" x14ac:dyDescent="0.25">
      <c r="A353" s="8" t="s">
        <v>745</v>
      </c>
      <c r="B353" s="9" t="s">
        <v>110</v>
      </c>
      <c r="C353" s="9" t="s">
        <v>63</v>
      </c>
      <c r="D353" s="9">
        <v>9</v>
      </c>
      <c r="E353" s="9">
        <v>26.97</v>
      </c>
      <c r="F353" s="9">
        <v>242.73</v>
      </c>
      <c r="G353">
        <f t="shared" si="16"/>
        <v>243</v>
      </c>
      <c r="H353" s="10">
        <v>45664</v>
      </c>
      <c r="I353" s="16" t="str">
        <f t="shared" si="17"/>
        <v>Tuesday</v>
      </c>
      <c r="J353" s="9" t="s">
        <v>48</v>
      </c>
      <c r="K353" s="9" t="s">
        <v>37</v>
      </c>
      <c r="L353" s="9" t="s">
        <v>746</v>
      </c>
      <c r="M353" s="16" t="str">
        <f t="shared" si="18"/>
        <v>low</v>
      </c>
    </row>
    <row r="354" spans="1:13" x14ac:dyDescent="0.25">
      <c r="A354" s="5" t="s">
        <v>747</v>
      </c>
      <c r="B354" s="6" t="s">
        <v>81</v>
      </c>
      <c r="C354" s="6" t="s">
        <v>55</v>
      </c>
      <c r="D354" s="6">
        <v>2</v>
      </c>
      <c r="E354" s="6">
        <v>207.18</v>
      </c>
      <c r="F354" s="6">
        <v>414.36</v>
      </c>
      <c r="G354">
        <f t="shared" si="16"/>
        <v>415</v>
      </c>
      <c r="H354" s="7">
        <v>45901</v>
      </c>
      <c r="I354" s="16" t="str">
        <f t="shared" si="17"/>
        <v>Monday</v>
      </c>
      <c r="J354" s="6" t="s">
        <v>13</v>
      </c>
      <c r="K354" s="6" t="s">
        <v>27</v>
      </c>
      <c r="L354" s="6" t="s">
        <v>748</v>
      </c>
      <c r="M354" s="16" t="str">
        <f t="shared" si="18"/>
        <v>low</v>
      </c>
    </row>
    <row r="355" spans="1:13" x14ac:dyDescent="0.25">
      <c r="A355" s="8" t="s">
        <v>749</v>
      </c>
      <c r="B355" s="9" t="s">
        <v>96</v>
      </c>
      <c r="C355" s="9" t="s">
        <v>44</v>
      </c>
      <c r="D355" s="9">
        <v>8</v>
      </c>
      <c r="E355" s="9">
        <v>349.38</v>
      </c>
      <c r="F355" s="9">
        <v>2795.04</v>
      </c>
      <c r="G355">
        <f t="shared" si="16"/>
        <v>2796</v>
      </c>
      <c r="H355" s="10">
        <v>45102</v>
      </c>
      <c r="I355" s="16" t="str">
        <f t="shared" si="17"/>
        <v>Sunday</v>
      </c>
      <c r="J355" s="9" t="s">
        <v>13</v>
      </c>
      <c r="K355" s="9" t="s">
        <v>27</v>
      </c>
      <c r="L355" s="9" t="s">
        <v>750</v>
      </c>
      <c r="M355" s="16" t="str">
        <f t="shared" si="18"/>
        <v>high</v>
      </c>
    </row>
    <row r="356" spans="1:13" x14ac:dyDescent="0.25">
      <c r="A356" s="5" t="s">
        <v>751</v>
      </c>
      <c r="B356" s="6" t="s">
        <v>99</v>
      </c>
      <c r="C356" s="6" t="s">
        <v>55</v>
      </c>
      <c r="D356" s="6">
        <v>5</v>
      </c>
      <c r="E356" s="6">
        <v>495.78</v>
      </c>
      <c r="F356" s="6">
        <v>2478.9</v>
      </c>
      <c r="G356">
        <f t="shared" si="16"/>
        <v>2479</v>
      </c>
      <c r="H356" s="7">
        <v>45040</v>
      </c>
      <c r="I356" s="16" t="str">
        <f t="shared" si="17"/>
        <v>Monday</v>
      </c>
      <c r="J356" s="6" t="s">
        <v>31</v>
      </c>
      <c r="K356" s="6" t="s">
        <v>37</v>
      </c>
      <c r="L356" s="6" t="s">
        <v>752</v>
      </c>
      <c r="M356" s="16" t="str">
        <f t="shared" si="18"/>
        <v>high</v>
      </c>
    </row>
    <row r="357" spans="1:13" x14ac:dyDescent="0.25">
      <c r="A357" s="8" t="s">
        <v>753</v>
      </c>
      <c r="B357" s="9" t="s">
        <v>26</v>
      </c>
      <c r="C357" s="9" t="s">
        <v>23</v>
      </c>
      <c r="D357" s="9">
        <v>3</v>
      </c>
      <c r="E357" s="9">
        <v>413.22</v>
      </c>
      <c r="F357" s="9">
        <v>1239.6600000000001</v>
      </c>
      <c r="G357">
        <f t="shared" si="16"/>
        <v>1240</v>
      </c>
      <c r="H357" s="10">
        <v>45494</v>
      </c>
      <c r="I357" s="16" t="str">
        <f t="shared" si="17"/>
        <v>Sunday</v>
      </c>
      <c r="J357" s="9" t="s">
        <v>31</v>
      </c>
      <c r="K357" s="9" t="s">
        <v>37</v>
      </c>
      <c r="L357" s="9" t="s">
        <v>754</v>
      </c>
      <c r="M357" s="16" t="str">
        <f t="shared" si="18"/>
        <v>low</v>
      </c>
    </row>
    <row r="358" spans="1:13" x14ac:dyDescent="0.25">
      <c r="A358" s="5" t="s">
        <v>755</v>
      </c>
      <c r="B358" s="6" t="s">
        <v>99</v>
      </c>
      <c r="C358" s="6" t="s">
        <v>55</v>
      </c>
      <c r="D358" s="6">
        <v>1</v>
      </c>
      <c r="E358" s="6">
        <v>439.92</v>
      </c>
      <c r="F358" s="6">
        <v>439.92</v>
      </c>
      <c r="G358">
        <f t="shared" si="16"/>
        <v>440</v>
      </c>
      <c r="H358" s="7">
        <v>45073</v>
      </c>
      <c r="I358" s="16" t="str">
        <f t="shared" si="17"/>
        <v>Saturday</v>
      </c>
      <c r="J358" s="6" t="s">
        <v>48</v>
      </c>
      <c r="K358" s="6" t="s">
        <v>37</v>
      </c>
      <c r="L358" s="6" t="s">
        <v>756</v>
      </c>
      <c r="M358" s="16" t="str">
        <f t="shared" si="18"/>
        <v>low</v>
      </c>
    </row>
    <row r="359" spans="1:13" x14ac:dyDescent="0.25">
      <c r="A359" s="8" t="s">
        <v>757</v>
      </c>
      <c r="B359" s="9" t="s">
        <v>40</v>
      </c>
      <c r="C359" s="9" t="s">
        <v>12</v>
      </c>
      <c r="D359" s="9">
        <v>8</v>
      </c>
      <c r="E359" s="9">
        <v>126.42</v>
      </c>
      <c r="F359" s="9">
        <v>1011.36</v>
      </c>
      <c r="G359">
        <f t="shared" si="16"/>
        <v>1012</v>
      </c>
      <c r="H359" s="10">
        <v>45497</v>
      </c>
      <c r="I359" s="16" t="str">
        <f t="shared" si="17"/>
        <v>Wednesday</v>
      </c>
      <c r="J359" s="9" t="s">
        <v>48</v>
      </c>
      <c r="K359" s="9" t="s">
        <v>27</v>
      </c>
      <c r="L359" s="9" t="s">
        <v>758</v>
      </c>
      <c r="M359" s="16" t="str">
        <f t="shared" si="18"/>
        <v>low</v>
      </c>
    </row>
    <row r="360" spans="1:13" x14ac:dyDescent="0.25">
      <c r="A360" s="5" t="s">
        <v>759</v>
      </c>
      <c r="B360" s="6" t="s">
        <v>87</v>
      </c>
      <c r="C360" s="6" t="s">
        <v>59</v>
      </c>
      <c r="D360" s="6">
        <v>9</v>
      </c>
      <c r="E360" s="6">
        <v>465.39</v>
      </c>
      <c r="F360" s="6">
        <v>4188.51</v>
      </c>
      <c r="G360">
        <f t="shared" si="16"/>
        <v>4189</v>
      </c>
      <c r="H360" s="7">
        <v>45282</v>
      </c>
      <c r="I360" s="16" t="str">
        <f t="shared" si="17"/>
        <v>Friday</v>
      </c>
      <c r="J360" s="6" t="s">
        <v>18</v>
      </c>
      <c r="K360" s="6" t="s">
        <v>37</v>
      </c>
      <c r="L360" s="6" t="s">
        <v>760</v>
      </c>
      <c r="M360" s="16" t="str">
        <f t="shared" si="18"/>
        <v>high</v>
      </c>
    </row>
    <row r="361" spans="1:13" x14ac:dyDescent="0.25">
      <c r="A361" s="8" t="s">
        <v>761</v>
      </c>
      <c r="B361" s="9" t="s">
        <v>87</v>
      </c>
      <c r="C361" s="9" t="s">
        <v>59</v>
      </c>
      <c r="D361" s="9">
        <v>6</v>
      </c>
      <c r="E361" s="9">
        <v>98.66</v>
      </c>
      <c r="F361" s="9">
        <v>591.96</v>
      </c>
      <c r="G361">
        <f t="shared" si="16"/>
        <v>592</v>
      </c>
      <c r="H361" s="10">
        <v>45059</v>
      </c>
      <c r="I361" s="16" t="str">
        <f t="shared" si="17"/>
        <v>Saturday</v>
      </c>
      <c r="J361" s="9" t="s">
        <v>18</v>
      </c>
      <c r="K361" s="9" t="s">
        <v>14</v>
      </c>
      <c r="L361" s="9" t="s">
        <v>762</v>
      </c>
      <c r="M361" s="16" t="str">
        <f t="shared" si="18"/>
        <v>low</v>
      </c>
    </row>
    <row r="362" spans="1:13" x14ac:dyDescent="0.25">
      <c r="A362" s="5" t="s">
        <v>763</v>
      </c>
      <c r="B362" s="6" t="s">
        <v>58</v>
      </c>
      <c r="C362" s="6" t="s">
        <v>59</v>
      </c>
      <c r="D362" s="6">
        <v>9</v>
      </c>
      <c r="E362" s="6">
        <v>19.48</v>
      </c>
      <c r="F362" s="6">
        <v>175.32</v>
      </c>
      <c r="G362">
        <f t="shared" si="16"/>
        <v>176</v>
      </c>
      <c r="H362" s="7">
        <v>45461</v>
      </c>
      <c r="I362" s="16" t="str">
        <f t="shared" si="17"/>
        <v>Tuesday</v>
      </c>
      <c r="J362" s="6" t="s">
        <v>48</v>
      </c>
      <c r="K362" s="6" t="s">
        <v>14</v>
      </c>
      <c r="L362" s="6" t="s">
        <v>764</v>
      </c>
      <c r="M362" s="16" t="str">
        <f t="shared" si="18"/>
        <v>low</v>
      </c>
    </row>
    <row r="363" spans="1:13" x14ac:dyDescent="0.25">
      <c r="A363" s="8" t="s">
        <v>765</v>
      </c>
      <c r="B363" s="9" t="s">
        <v>17</v>
      </c>
      <c r="C363" s="9" t="s">
        <v>12</v>
      </c>
      <c r="D363" s="9">
        <v>5</v>
      </c>
      <c r="E363" s="9">
        <v>373.04</v>
      </c>
      <c r="F363" s="9">
        <v>1865.2</v>
      </c>
      <c r="G363">
        <f t="shared" si="16"/>
        <v>1866</v>
      </c>
      <c r="H363" s="10">
        <v>45853</v>
      </c>
      <c r="I363" s="16" t="str">
        <f t="shared" si="17"/>
        <v>Tuesday</v>
      </c>
      <c r="J363" s="9" t="s">
        <v>13</v>
      </c>
      <c r="K363" s="9" t="s">
        <v>27</v>
      </c>
      <c r="L363" s="9" t="s">
        <v>766</v>
      </c>
      <c r="M363" s="16" t="str">
        <f t="shared" si="18"/>
        <v>low</v>
      </c>
    </row>
    <row r="364" spans="1:13" x14ac:dyDescent="0.25">
      <c r="A364" s="5" t="s">
        <v>767</v>
      </c>
      <c r="B364" s="6" t="s">
        <v>250</v>
      </c>
      <c r="C364" s="6" t="s">
        <v>63</v>
      </c>
      <c r="D364" s="6">
        <v>2</v>
      </c>
      <c r="E364" s="6">
        <v>416.91</v>
      </c>
      <c r="F364" s="6">
        <v>833.82</v>
      </c>
      <c r="G364">
        <f t="shared" si="16"/>
        <v>834</v>
      </c>
      <c r="H364" s="7">
        <v>45915</v>
      </c>
      <c r="I364" s="16" t="str">
        <f t="shared" si="17"/>
        <v>Monday</v>
      </c>
      <c r="J364" s="6" t="s">
        <v>31</v>
      </c>
      <c r="K364" s="6" t="s">
        <v>27</v>
      </c>
      <c r="L364" s="6" t="s">
        <v>768</v>
      </c>
      <c r="M364" s="16" t="str">
        <f t="shared" si="18"/>
        <v>low</v>
      </c>
    </row>
    <row r="365" spans="1:13" x14ac:dyDescent="0.25">
      <c r="A365" s="8" t="s">
        <v>769</v>
      </c>
      <c r="B365" s="9" t="s">
        <v>164</v>
      </c>
      <c r="C365" s="9" t="s">
        <v>59</v>
      </c>
      <c r="D365" s="9">
        <v>2</v>
      </c>
      <c r="E365" s="9">
        <v>147.08000000000001</v>
      </c>
      <c r="F365" s="9">
        <v>294.16000000000003</v>
      </c>
      <c r="G365">
        <f t="shared" si="16"/>
        <v>295</v>
      </c>
      <c r="H365" s="10">
        <v>44972</v>
      </c>
      <c r="I365" s="16" t="str">
        <f t="shared" si="17"/>
        <v>Wednesday</v>
      </c>
      <c r="J365" s="9" t="s">
        <v>18</v>
      </c>
      <c r="K365" s="9" t="s">
        <v>27</v>
      </c>
      <c r="L365" s="9" t="s">
        <v>770</v>
      </c>
      <c r="M365" s="16" t="str">
        <f t="shared" si="18"/>
        <v>low</v>
      </c>
    </row>
    <row r="366" spans="1:13" x14ac:dyDescent="0.25">
      <c r="A366" s="5" t="s">
        <v>771</v>
      </c>
      <c r="B366" s="6" t="s">
        <v>140</v>
      </c>
      <c r="C366" s="6" t="s">
        <v>59</v>
      </c>
      <c r="D366" s="6">
        <v>9</v>
      </c>
      <c r="E366" s="6">
        <v>317.75</v>
      </c>
      <c r="F366" s="6">
        <v>2859.75</v>
      </c>
      <c r="G366">
        <f t="shared" si="16"/>
        <v>2860</v>
      </c>
      <c r="H366" s="7">
        <v>45149</v>
      </c>
      <c r="I366" s="16" t="str">
        <f t="shared" si="17"/>
        <v>Friday</v>
      </c>
      <c r="J366" s="6" t="s">
        <v>13</v>
      </c>
      <c r="K366" s="6" t="s">
        <v>14</v>
      </c>
      <c r="L366" s="6" t="s">
        <v>772</v>
      </c>
      <c r="M366" s="16" t="str">
        <f t="shared" si="18"/>
        <v>high</v>
      </c>
    </row>
    <row r="367" spans="1:13" x14ac:dyDescent="0.25">
      <c r="A367" s="8" t="s">
        <v>773</v>
      </c>
      <c r="B367" s="9" t="s">
        <v>47</v>
      </c>
      <c r="C367" s="9" t="s">
        <v>44</v>
      </c>
      <c r="D367" s="9">
        <v>8</v>
      </c>
      <c r="E367" s="9">
        <v>410.25</v>
      </c>
      <c r="F367" s="9">
        <v>3282</v>
      </c>
      <c r="G367">
        <f t="shared" si="16"/>
        <v>3282</v>
      </c>
      <c r="H367" s="10">
        <v>45252</v>
      </c>
      <c r="I367" s="16" t="str">
        <f t="shared" si="17"/>
        <v>Wednesday</v>
      </c>
      <c r="J367" s="9" t="s">
        <v>48</v>
      </c>
      <c r="K367" s="9" t="s">
        <v>37</v>
      </c>
      <c r="L367" s="9" t="s">
        <v>774</v>
      </c>
      <c r="M367" s="16" t="str">
        <f t="shared" si="18"/>
        <v>high</v>
      </c>
    </row>
    <row r="368" spans="1:13" x14ac:dyDescent="0.25">
      <c r="A368" s="5" t="s">
        <v>775</v>
      </c>
      <c r="B368" s="6" t="s">
        <v>30</v>
      </c>
      <c r="C368" s="6" t="s">
        <v>12</v>
      </c>
      <c r="D368" s="6">
        <v>2</v>
      </c>
      <c r="E368" s="6">
        <v>174.23</v>
      </c>
      <c r="F368" s="6">
        <v>348.46</v>
      </c>
      <c r="G368">
        <f t="shared" si="16"/>
        <v>349</v>
      </c>
      <c r="H368" s="7">
        <v>45498</v>
      </c>
      <c r="I368" s="16" t="str">
        <f t="shared" si="17"/>
        <v>Thursday</v>
      </c>
      <c r="J368" s="6" t="s">
        <v>13</v>
      </c>
      <c r="K368" s="6" t="s">
        <v>14</v>
      </c>
      <c r="L368" s="6" t="s">
        <v>776</v>
      </c>
      <c r="M368" s="16" t="str">
        <f t="shared" si="18"/>
        <v>low</v>
      </c>
    </row>
    <row r="369" spans="1:13" x14ac:dyDescent="0.25">
      <c r="A369" s="8" t="s">
        <v>777</v>
      </c>
      <c r="B369" s="9" t="s">
        <v>231</v>
      </c>
      <c r="C369" s="9" t="s">
        <v>55</v>
      </c>
      <c r="D369" s="9">
        <v>5</v>
      </c>
      <c r="E369" s="9">
        <v>55.74</v>
      </c>
      <c r="F369" s="9">
        <v>278.7</v>
      </c>
      <c r="G369">
        <f t="shared" si="16"/>
        <v>279</v>
      </c>
      <c r="H369" s="10">
        <v>45122</v>
      </c>
      <c r="I369" s="16" t="str">
        <f t="shared" si="17"/>
        <v>Saturday</v>
      </c>
      <c r="J369" s="9" t="s">
        <v>13</v>
      </c>
      <c r="K369" s="9" t="s">
        <v>19</v>
      </c>
      <c r="L369" s="9" t="s">
        <v>778</v>
      </c>
      <c r="M369" s="16" t="str">
        <f t="shared" si="18"/>
        <v>low</v>
      </c>
    </row>
    <row r="370" spans="1:13" x14ac:dyDescent="0.25">
      <c r="A370" s="5" t="s">
        <v>779</v>
      </c>
      <c r="B370" s="6" t="s">
        <v>26</v>
      </c>
      <c r="C370" s="6" t="s">
        <v>23</v>
      </c>
      <c r="D370" s="6">
        <v>4</v>
      </c>
      <c r="E370" s="6">
        <v>38.58</v>
      </c>
      <c r="F370" s="6">
        <v>154.32</v>
      </c>
      <c r="G370">
        <f t="shared" si="16"/>
        <v>155</v>
      </c>
      <c r="H370" s="7">
        <v>45657</v>
      </c>
      <c r="I370" s="16" t="str">
        <f t="shared" si="17"/>
        <v>Tuesday</v>
      </c>
      <c r="J370" s="6" t="s">
        <v>48</v>
      </c>
      <c r="K370" s="6" t="s">
        <v>14</v>
      </c>
      <c r="L370" s="6" t="s">
        <v>780</v>
      </c>
      <c r="M370" s="16" t="str">
        <f t="shared" si="18"/>
        <v>low</v>
      </c>
    </row>
    <row r="371" spans="1:13" x14ac:dyDescent="0.25">
      <c r="A371" s="8" t="s">
        <v>781</v>
      </c>
      <c r="B371" s="9" t="s">
        <v>175</v>
      </c>
      <c r="C371" s="9" t="s">
        <v>12</v>
      </c>
      <c r="D371" s="9">
        <v>6</v>
      </c>
      <c r="E371" s="9">
        <v>355.74</v>
      </c>
      <c r="F371" s="9">
        <v>2134.44</v>
      </c>
      <c r="G371">
        <f t="shared" si="16"/>
        <v>2135</v>
      </c>
      <c r="H371" s="10">
        <v>45812</v>
      </c>
      <c r="I371" s="16" t="str">
        <f t="shared" si="17"/>
        <v>Wednesday</v>
      </c>
      <c r="J371" s="9" t="s">
        <v>48</v>
      </c>
      <c r="K371" s="9" t="s">
        <v>19</v>
      </c>
      <c r="L371" s="9" t="s">
        <v>782</v>
      </c>
      <c r="M371" s="16" t="str">
        <f t="shared" si="18"/>
        <v>high</v>
      </c>
    </row>
    <row r="372" spans="1:13" x14ac:dyDescent="0.25">
      <c r="A372" s="5" t="s">
        <v>783</v>
      </c>
      <c r="B372" s="6" t="s">
        <v>96</v>
      </c>
      <c r="C372" s="6" t="s">
        <v>44</v>
      </c>
      <c r="D372" s="6">
        <v>6</v>
      </c>
      <c r="E372" s="6">
        <v>312.35000000000002</v>
      </c>
      <c r="F372" s="6">
        <v>1874.1</v>
      </c>
      <c r="G372">
        <f t="shared" si="16"/>
        <v>1875</v>
      </c>
      <c r="H372" s="7">
        <v>45136</v>
      </c>
      <c r="I372" s="16" t="str">
        <f t="shared" si="17"/>
        <v>Saturday</v>
      </c>
      <c r="J372" s="6" t="s">
        <v>13</v>
      </c>
      <c r="K372" s="6" t="s">
        <v>37</v>
      </c>
      <c r="L372" s="6" t="s">
        <v>784</v>
      </c>
      <c r="M372" s="16" t="str">
        <f t="shared" si="18"/>
        <v>low</v>
      </c>
    </row>
    <row r="373" spans="1:13" x14ac:dyDescent="0.25">
      <c r="A373" s="8" t="s">
        <v>785</v>
      </c>
      <c r="B373" s="9" t="s">
        <v>99</v>
      </c>
      <c r="C373" s="9" t="s">
        <v>55</v>
      </c>
      <c r="D373" s="9">
        <v>4</v>
      </c>
      <c r="E373" s="9">
        <v>325.55</v>
      </c>
      <c r="F373" s="9">
        <v>1302.2</v>
      </c>
      <c r="G373">
        <f t="shared" si="16"/>
        <v>1303</v>
      </c>
      <c r="H373" s="10">
        <v>45874</v>
      </c>
      <c r="I373" s="16" t="str">
        <f t="shared" si="17"/>
        <v>Tuesday</v>
      </c>
      <c r="J373" s="9" t="s">
        <v>18</v>
      </c>
      <c r="K373" s="9" t="s">
        <v>19</v>
      </c>
      <c r="L373" s="9" t="s">
        <v>786</v>
      </c>
      <c r="M373" s="16" t="str">
        <f t="shared" si="18"/>
        <v>low</v>
      </c>
    </row>
    <row r="374" spans="1:13" x14ac:dyDescent="0.25">
      <c r="A374" s="5" t="s">
        <v>787</v>
      </c>
      <c r="B374" s="6" t="s">
        <v>84</v>
      </c>
      <c r="C374" s="6" t="s">
        <v>23</v>
      </c>
      <c r="D374" s="6">
        <v>7</v>
      </c>
      <c r="E374" s="6">
        <v>37.479999999999997</v>
      </c>
      <c r="F374" s="6">
        <v>262.36</v>
      </c>
      <c r="G374">
        <f t="shared" si="16"/>
        <v>263</v>
      </c>
      <c r="H374" s="7">
        <v>44959</v>
      </c>
      <c r="I374" s="16" t="str">
        <f t="shared" si="17"/>
        <v>Thursday</v>
      </c>
      <c r="J374" s="6" t="s">
        <v>18</v>
      </c>
      <c r="K374" s="6" t="s">
        <v>27</v>
      </c>
      <c r="L374" s="6" t="s">
        <v>788</v>
      </c>
      <c r="M374" s="16" t="str">
        <f t="shared" si="18"/>
        <v>low</v>
      </c>
    </row>
    <row r="375" spans="1:13" x14ac:dyDescent="0.25">
      <c r="A375" s="8" t="s">
        <v>789</v>
      </c>
      <c r="B375" s="9" t="s">
        <v>68</v>
      </c>
      <c r="C375" s="9" t="s">
        <v>63</v>
      </c>
      <c r="D375" s="9">
        <v>3</v>
      </c>
      <c r="E375" s="9">
        <v>129.99</v>
      </c>
      <c r="F375" s="9">
        <v>389.97</v>
      </c>
      <c r="G375">
        <f t="shared" si="16"/>
        <v>390</v>
      </c>
      <c r="H375" s="10">
        <v>45909</v>
      </c>
      <c r="I375" s="16" t="str">
        <f t="shared" si="17"/>
        <v>Tuesday</v>
      </c>
      <c r="J375" s="9" t="s">
        <v>18</v>
      </c>
      <c r="K375" s="9" t="s">
        <v>14</v>
      </c>
      <c r="L375" s="9" t="s">
        <v>790</v>
      </c>
      <c r="M375" s="16" t="str">
        <f t="shared" si="18"/>
        <v>low</v>
      </c>
    </row>
    <row r="376" spans="1:13" x14ac:dyDescent="0.25">
      <c r="A376" s="5" t="s">
        <v>791</v>
      </c>
      <c r="B376" s="6" t="s">
        <v>81</v>
      </c>
      <c r="C376" s="6" t="s">
        <v>55</v>
      </c>
      <c r="D376" s="6">
        <v>4</v>
      </c>
      <c r="E376" s="6">
        <v>215.96</v>
      </c>
      <c r="F376" s="6">
        <v>863.84</v>
      </c>
      <c r="G376">
        <f t="shared" si="16"/>
        <v>864</v>
      </c>
      <c r="H376" s="7">
        <v>45323</v>
      </c>
      <c r="I376" s="16" t="str">
        <f t="shared" si="17"/>
        <v>Thursday</v>
      </c>
      <c r="J376" s="6" t="s">
        <v>31</v>
      </c>
      <c r="K376" s="6" t="s">
        <v>27</v>
      </c>
      <c r="L376" s="6" t="s">
        <v>792</v>
      </c>
      <c r="M376" s="16" t="str">
        <f t="shared" si="18"/>
        <v>low</v>
      </c>
    </row>
    <row r="377" spans="1:13" x14ac:dyDescent="0.25">
      <c r="A377" s="8" t="s">
        <v>793</v>
      </c>
      <c r="B377" s="9" t="s">
        <v>47</v>
      </c>
      <c r="C377" s="9" t="s">
        <v>44</v>
      </c>
      <c r="D377" s="9">
        <v>7</v>
      </c>
      <c r="E377" s="9">
        <v>413.83</v>
      </c>
      <c r="F377" s="9">
        <v>2896.81</v>
      </c>
      <c r="G377">
        <f t="shared" si="16"/>
        <v>2897</v>
      </c>
      <c r="H377" s="10">
        <v>45001</v>
      </c>
      <c r="I377" s="16" t="str">
        <f t="shared" si="17"/>
        <v>Thursday</v>
      </c>
      <c r="J377" s="9" t="s">
        <v>18</v>
      </c>
      <c r="K377" s="9" t="s">
        <v>19</v>
      </c>
      <c r="L377" s="9" t="s">
        <v>794</v>
      </c>
      <c r="M377" s="16" t="str">
        <f t="shared" si="18"/>
        <v>high</v>
      </c>
    </row>
    <row r="378" spans="1:13" x14ac:dyDescent="0.25">
      <c r="A378" s="5" t="s">
        <v>795</v>
      </c>
      <c r="B378" s="6" t="s">
        <v>81</v>
      </c>
      <c r="C378" s="6" t="s">
        <v>55</v>
      </c>
      <c r="D378" s="6">
        <v>2</v>
      </c>
      <c r="E378" s="6">
        <v>387.55</v>
      </c>
      <c r="F378" s="6">
        <v>775.1</v>
      </c>
      <c r="G378">
        <f t="shared" si="16"/>
        <v>776</v>
      </c>
      <c r="H378" s="7">
        <v>45010</v>
      </c>
      <c r="I378" s="16" t="str">
        <f t="shared" si="17"/>
        <v>Saturday</v>
      </c>
      <c r="J378" s="6" t="s">
        <v>31</v>
      </c>
      <c r="K378" s="6" t="s">
        <v>27</v>
      </c>
      <c r="L378" s="6" t="s">
        <v>796</v>
      </c>
      <c r="M378" s="16" t="str">
        <f t="shared" si="18"/>
        <v>low</v>
      </c>
    </row>
    <row r="379" spans="1:13" x14ac:dyDescent="0.25">
      <c r="A379" s="8" t="s">
        <v>797</v>
      </c>
      <c r="B379" s="9" t="s">
        <v>110</v>
      </c>
      <c r="C379" s="9" t="s">
        <v>63</v>
      </c>
      <c r="D379" s="9">
        <v>3</v>
      </c>
      <c r="E379" s="9">
        <v>475.68</v>
      </c>
      <c r="F379" s="9">
        <v>1427.04</v>
      </c>
      <c r="G379">
        <f t="shared" si="16"/>
        <v>1428</v>
      </c>
      <c r="H379" s="10">
        <v>45674</v>
      </c>
      <c r="I379" s="16" t="str">
        <f t="shared" si="17"/>
        <v>Friday</v>
      </c>
      <c r="J379" s="9" t="s">
        <v>48</v>
      </c>
      <c r="K379" s="9" t="s">
        <v>37</v>
      </c>
      <c r="L379" s="9" t="s">
        <v>798</v>
      </c>
      <c r="M379" s="16" t="str">
        <f t="shared" si="18"/>
        <v>low</v>
      </c>
    </row>
    <row r="380" spans="1:13" x14ac:dyDescent="0.25">
      <c r="A380" s="5" t="s">
        <v>799</v>
      </c>
      <c r="B380" s="6" t="s">
        <v>190</v>
      </c>
      <c r="C380" s="6" t="s">
        <v>23</v>
      </c>
      <c r="D380" s="6">
        <v>5</v>
      </c>
      <c r="E380" s="6">
        <v>455.21</v>
      </c>
      <c r="F380" s="6">
        <v>2276.0500000000002</v>
      </c>
      <c r="G380">
        <f t="shared" si="16"/>
        <v>2277</v>
      </c>
      <c r="H380" s="7">
        <v>45795</v>
      </c>
      <c r="I380" s="16" t="str">
        <f t="shared" si="17"/>
        <v>Sunday</v>
      </c>
      <c r="J380" s="6" t="s">
        <v>13</v>
      </c>
      <c r="K380" s="6" t="s">
        <v>27</v>
      </c>
      <c r="L380" s="6" t="s">
        <v>800</v>
      </c>
      <c r="M380" s="16" t="str">
        <f t="shared" si="18"/>
        <v>high</v>
      </c>
    </row>
    <row r="381" spans="1:13" x14ac:dyDescent="0.25">
      <c r="A381" s="8" t="s">
        <v>801</v>
      </c>
      <c r="B381" s="9" t="s">
        <v>99</v>
      </c>
      <c r="C381" s="9" t="s">
        <v>55</v>
      </c>
      <c r="D381" s="9">
        <v>6</v>
      </c>
      <c r="E381" s="9">
        <v>381.25</v>
      </c>
      <c r="F381" s="9">
        <v>2287.5</v>
      </c>
      <c r="G381">
        <f t="shared" si="16"/>
        <v>2288</v>
      </c>
      <c r="H381" s="10">
        <v>45379</v>
      </c>
      <c r="I381" s="16" t="str">
        <f t="shared" si="17"/>
        <v>Thursday</v>
      </c>
      <c r="J381" s="9" t="s">
        <v>31</v>
      </c>
      <c r="K381" s="9" t="s">
        <v>37</v>
      </c>
      <c r="L381" s="9" t="s">
        <v>802</v>
      </c>
      <c r="M381" s="16" t="str">
        <f t="shared" si="18"/>
        <v>high</v>
      </c>
    </row>
    <row r="382" spans="1:13" x14ac:dyDescent="0.25">
      <c r="A382" s="5" t="s">
        <v>803</v>
      </c>
      <c r="B382" s="6" t="s">
        <v>231</v>
      </c>
      <c r="C382" s="6" t="s">
        <v>55</v>
      </c>
      <c r="D382" s="6">
        <v>1</v>
      </c>
      <c r="E382" s="6">
        <v>163.77000000000001</v>
      </c>
      <c r="F382" s="6">
        <v>163.77000000000001</v>
      </c>
      <c r="G382">
        <f t="shared" si="16"/>
        <v>164</v>
      </c>
      <c r="H382" s="7">
        <v>45860</v>
      </c>
      <c r="I382" s="16" t="str">
        <f t="shared" si="17"/>
        <v>Tuesday</v>
      </c>
      <c r="J382" s="6" t="s">
        <v>13</v>
      </c>
      <c r="K382" s="6" t="s">
        <v>19</v>
      </c>
      <c r="L382" s="6" t="s">
        <v>804</v>
      </c>
      <c r="M382" s="16" t="str">
        <f t="shared" si="18"/>
        <v>low</v>
      </c>
    </row>
    <row r="383" spans="1:13" x14ac:dyDescent="0.25">
      <c r="A383" s="8" t="s">
        <v>805</v>
      </c>
      <c r="B383" s="9" t="s">
        <v>22</v>
      </c>
      <c r="C383" s="9" t="s">
        <v>23</v>
      </c>
      <c r="D383" s="9">
        <v>2</v>
      </c>
      <c r="E383" s="9">
        <v>110.49</v>
      </c>
      <c r="F383" s="9">
        <v>220.98</v>
      </c>
      <c r="G383">
        <f t="shared" si="16"/>
        <v>221</v>
      </c>
      <c r="H383" s="10">
        <v>45758</v>
      </c>
      <c r="I383" s="16" t="str">
        <f t="shared" si="17"/>
        <v>Friday</v>
      </c>
      <c r="J383" s="9" t="s">
        <v>31</v>
      </c>
      <c r="K383" s="9" t="s">
        <v>27</v>
      </c>
      <c r="L383" s="9" t="s">
        <v>806</v>
      </c>
      <c r="M383" s="16" t="str">
        <f t="shared" si="18"/>
        <v>low</v>
      </c>
    </row>
    <row r="384" spans="1:13" x14ac:dyDescent="0.25">
      <c r="A384" s="5" t="s">
        <v>807</v>
      </c>
      <c r="B384" s="6" t="s">
        <v>231</v>
      </c>
      <c r="C384" s="6" t="s">
        <v>55</v>
      </c>
      <c r="D384" s="6">
        <v>9</v>
      </c>
      <c r="E384" s="6">
        <v>358.89</v>
      </c>
      <c r="F384" s="6">
        <v>3230.01</v>
      </c>
      <c r="G384">
        <f t="shared" si="16"/>
        <v>3231</v>
      </c>
      <c r="H384" s="7">
        <v>45712</v>
      </c>
      <c r="I384" s="16" t="str">
        <f t="shared" si="17"/>
        <v>Monday</v>
      </c>
      <c r="J384" s="6" t="s">
        <v>13</v>
      </c>
      <c r="K384" s="6" t="s">
        <v>27</v>
      </c>
      <c r="L384" s="6" t="s">
        <v>808</v>
      </c>
      <c r="M384" s="16" t="str">
        <f t="shared" si="18"/>
        <v>high</v>
      </c>
    </row>
    <row r="385" spans="1:13" x14ac:dyDescent="0.25">
      <c r="A385" s="8" t="s">
        <v>809</v>
      </c>
      <c r="B385" s="9" t="s">
        <v>43</v>
      </c>
      <c r="C385" s="9" t="s">
        <v>44</v>
      </c>
      <c r="D385" s="9">
        <v>8</v>
      </c>
      <c r="E385" s="9">
        <v>83.83</v>
      </c>
      <c r="F385" s="9">
        <v>670.64</v>
      </c>
      <c r="G385">
        <f t="shared" si="16"/>
        <v>671</v>
      </c>
      <c r="H385" s="10">
        <v>45911</v>
      </c>
      <c r="I385" s="16" t="str">
        <f t="shared" si="17"/>
        <v>Thursday</v>
      </c>
      <c r="J385" s="9" t="s">
        <v>13</v>
      </c>
      <c r="K385" s="9" t="s">
        <v>37</v>
      </c>
      <c r="L385" s="9" t="s">
        <v>810</v>
      </c>
      <c r="M385" s="16" t="str">
        <f t="shared" si="18"/>
        <v>low</v>
      </c>
    </row>
    <row r="386" spans="1:13" x14ac:dyDescent="0.25">
      <c r="A386" s="5" t="s">
        <v>811</v>
      </c>
      <c r="B386" s="6" t="s">
        <v>115</v>
      </c>
      <c r="C386" s="6" t="s">
        <v>55</v>
      </c>
      <c r="D386" s="6">
        <v>5</v>
      </c>
      <c r="E386" s="6">
        <v>81.06</v>
      </c>
      <c r="F386" s="6">
        <v>405.3</v>
      </c>
      <c r="G386">
        <f t="shared" ref="G386:G449" si="19">ROUNDUP(F386,0)</f>
        <v>406</v>
      </c>
      <c r="H386" s="7">
        <v>44953</v>
      </c>
      <c r="I386" s="16" t="str">
        <f t="shared" ref="I386:I449" si="20">TEXT(H386,"dddd")</f>
        <v>Friday</v>
      </c>
      <c r="J386" s="6" t="s">
        <v>13</v>
      </c>
      <c r="K386" s="6" t="s">
        <v>27</v>
      </c>
      <c r="L386" s="6" t="s">
        <v>812</v>
      </c>
      <c r="M386" s="16" t="str">
        <f t="shared" ref="M386:M449" si="21">IF(G386&gt;2000,"high","low")</f>
        <v>low</v>
      </c>
    </row>
    <row r="387" spans="1:13" x14ac:dyDescent="0.25">
      <c r="A387" s="8" t="s">
        <v>813</v>
      </c>
      <c r="B387" s="9" t="s">
        <v>110</v>
      </c>
      <c r="C387" s="9" t="s">
        <v>63</v>
      </c>
      <c r="D387" s="9">
        <v>4</v>
      </c>
      <c r="E387" s="9">
        <v>13.84</v>
      </c>
      <c r="F387" s="9">
        <v>55.36</v>
      </c>
      <c r="G387">
        <f t="shared" si="19"/>
        <v>56</v>
      </c>
      <c r="H387" s="10">
        <v>45275</v>
      </c>
      <c r="I387" s="16" t="str">
        <f t="shared" si="20"/>
        <v>Friday</v>
      </c>
      <c r="J387" s="9" t="s">
        <v>18</v>
      </c>
      <c r="K387" s="9" t="s">
        <v>14</v>
      </c>
      <c r="L387" s="9" t="s">
        <v>814</v>
      </c>
      <c r="M387" s="16" t="str">
        <f t="shared" si="21"/>
        <v>low</v>
      </c>
    </row>
    <row r="388" spans="1:13" x14ac:dyDescent="0.25">
      <c r="A388" s="5" t="s">
        <v>815</v>
      </c>
      <c r="B388" s="6" t="s">
        <v>22</v>
      </c>
      <c r="C388" s="6" t="s">
        <v>23</v>
      </c>
      <c r="D388" s="6">
        <v>5</v>
      </c>
      <c r="E388" s="6">
        <v>456.36</v>
      </c>
      <c r="F388" s="6">
        <v>2281.8000000000002</v>
      </c>
      <c r="G388">
        <f t="shared" si="19"/>
        <v>2282</v>
      </c>
      <c r="H388" s="7">
        <v>45304</v>
      </c>
      <c r="I388" s="16" t="str">
        <f t="shared" si="20"/>
        <v>Saturday</v>
      </c>
      <c r="J388" s="6" t="s">
        <v>48</v>
      </c>
      <c r="K388" s="6" t="s">
        <v>37</v>
      </c>
      <c r="L388" s="6" t="s">
        <v>816</v>
      </c>
      <c r="M388" s="16" t="str">
        <f t="shared" si="21"/>
        <v>high</v>
      </c>
    </row>
    <row r="389" spans="1:13" x14ac:dyDescent="0.25">
      <c r="A389" s="8" t="s">
        <v>817</v>
      </c>
      <c r="B389" s="9" t="s">
        <v>250</v>
      </c>
      <c r="C389" s="9" t="s">
        <v>63</v>
      </c>
      <c r="D389" s="9">
        <v>4</v>
      </c>
      <c r="E389" s="9">
        <v>399.29</v>
      </c>
      <c r="F389" s="9">
        <v>1597.16</v>
      </c>
      <c r="G389">
        <f t="shared" si="19"/>
        <v>1598</v>
      </c>
      <c r="H389" s="10">
        <v>45079</v>
      </c>
      <c r="I389" s="16" t="str">
        <f t="shared" si="20"/>
        <v>Friday</v>
      </c>
      <c r="J389" s="9" t="s">
        <v>18</v>
      </c>
      <c r="K389" s="9" t="s">
        <v>19</v>
      </c>
      <c r="L389" s="9" t="s">
        <v>818</v>
      </c>
      <c r="M389" s="16" t="str">
        <f t="shared" si="21"/>
        <v>low</v>
      </c>
    </row>
    <row r="390" spans="1:13" x14ac:dyDescent="0.25">
      <c r="A390" s="5" t="s">
        <v>819</v>
      </c>
      <c r="B390" s="6" t="s">
        <v>96</v>
      </c>
      <c r="C390" s="6" t="s">
        <v>44</v>
      </c>
      <c r="D390" s="6">
        <v>4</v>
      </c>
      <c r="E390" s="6">
        <v>281.41000000000003</v>
      </c>
      <c r="F390" s="6">
        <v>1125.6400000000001</v>
      </c>
      <c r="G390">
        <f t="shared" si="19"/>
        <v>1126</v>
      </c>
      <c r="H390" s="7">
        <v>45870</v>
      </c>
      <c r="I390" s="16" t="str">
        <f t="shared" si="20"/>
        <v>Friday</v>
      </c>
      <c r="J390" s="6" t="s">
        <v>13</v>
      </c>
      <c r="K390" s="6" t="s">
        <v>19</v>
      </c>
      <c r="L390" s="6" t="s">
        <v>820</v>
      </c>
      <c r="M390" s="16" t="str">
        <f t="shared" si="21"/>
        <v>low</v>
      </c>
    </row>
    <row r="391" spans="1:13" x14ac:dyDescent="0.25">
      <c r="A391" s="8" t="s">
        <v>821</v>
      </c>
      <c r="B391" s="9" t="s">
        <v>99</v>
      </c>
      <c r="C391" s="9" t="s">
        <v>55</v>
      </c>
      <c r="D391" s="9">
        <v>6</v>
      </c>
      <c r="E391" s="9">
        <v>293.08</v>
      </c>
      <c r="F391" s="9">
        <v>1758.48</v>
      </c>
      <c r="G391">
        <f t="shared" si="19"/>
        <v>1759</v>
      </c>
      <c r="H391" s="10">
        <v>45043</v>
      </c>
      <c r="I391" s="16" t="str">
        <f t="shared" si="20"/>
        <v>Thursday</v>
      </c>
      <c r="J391" s="9" t="s">
        <v>13</v>
      </c>
      <c r="K391" s="9" t="s">
        <v>37</v>
      </c>
      <c r="L391" s="9" t="s">
        <v>822</v>
      </c>
      <c r="M391" s="16" t="str">
        <f t="shared" si="21"/>
        <v>low</v>
      </c>
    </row>
    <row r="392" spans="1:13" x14ac:dyDescent="0.25">
      <c r="A392" s="5" t="s">
        <v>823</v>
      </c>
      <c r="B392" s="6" t="s">
        <v>81</v>
      </c>
      <c r="C392" s="6" t="s">
        <v>55</v>
      </c>
      <c r="D392" s="6">
        <v>8</v>
      </c>
      <c r="E392" s="6">
        <v>219.46</v>
      </c>
      <c r="F392" s="6">
        <v>1755.68</v>
      </c>
      <c r="G392">
        <f t="shared" si="19"/>
        <v>1756</v>
      </c>
      <c r="H392" s="7">
        <v>44990</v>
      </c>
      <c r="I392" s="16" t="str">
        <f t="shared" si="20"/>
        <v>Sunday</v>
      </c>
      <c r="J392" s="6" t="s">
        <v>48</v>
      </c>
      <c r="K392" s="6" t="s">
        <v>27</v>
      </c>
      <c r="L392" s="6" t="s">
        <v>824</v>
      </c>
      <c r="M392" s="16" t="str">
        <f t="shared" si="21"/>
        <v>low</v>
      </c>
    </row>
    <row r="393" spans="1:13" x14ac:dyDescent="0.25">
      <c r="A393" s="8" t="s">
        <v>825</v>
      </c>
      <c r="B393" s="9" t="s">
        <v>190</v>
      </c>
      <c r="C393" s="9" t="s">
        <v>23</v>
      </c>
      <c r="D393" s="9">
        <v>1</v>
      </c>
      <c r="E393" s="9">
        <v>10.75</v>
      </c>
      <c r="F393" s="9">
        <v>10.75</v>
      </c>
      <c r="G393">
        <f t="shared" si="19"/>
        <v>11</v>
      </c>
      <c r="H393" s="10">
        <v>45200</v>
      </c>
      <c r="I393" s="16" t="str">
        <f t="shared" si="20"/>
        <v>Sunday</v>
      </c>
      <c r="J393" s="9" t="s">
        <v>31</v>
      </c>
      <c r="K393" s="9" t="s">
        <v>27</v>
      </c>
      <c r="L393" s="9" t="s">
        <v>826</v>
      </c>
      <c r="M393" s="16" t="str">
        <f t="shared" si="21"/>
        <v>low</v>
      </c>
    </row>
    <row r="394" spans="1:13" x14ac:dyDescent="0.25">
      <c r="A394" s="5" t="s">
        <v>827</v>
      </c>
      <c r="B394" s="6" t="s">
        <v>62</v>
      </c>
      <c r="C394" s="6" t="s">
        <v>63</v>
      </c>
      <c r="D394" s="6">
        <v>6</v>
      </c>
      <c r="E394" s="6">
        <v>149.37</v>
      </c>
      <c r="F394" s="6">
        <v>896.22</v>
      </c>
      <c r="G394">
        <f t="shared" si="19"/>
        <v>897</v>
      </c>
      <c r="H394" s="7">
        <v>45227</v>
      </c>
      <c r="I394" s="16" t="str">
        <f t="shared" si="20"/>
        <v>Saturday</v>
      </c>
      <c r="J394" s="6" t="s">
        <v>18</v>
      </c>
      <c r="K394" s="6" t="s">
        <v>27</v>
      </c>
      <c r="L394" s="6" t="s">
        <v>828</v>
      </c>
      <c r="M394" s="16" t="str">
        <f t="shared" si="21"/>
        <v>low</v>
      </c>
    </row>
    <row r="395" spans="1:13" x14ac:dyDescent="0.25">
      <c r="A395" s="8" t="s">
        <v>829</v>
      </c>
      <c r="B395" s="9" t="s">
        <v>11</v>
      </c>
      <c r="C395" s="9" t="s">
        <v>12</v>
      </c>
      <c r="D395" s="9">
        <v>1</v>
      </c>
      <c r="E395" s="9">
        <v>476.56</v>
      </c>
      <c r="F395" s="9">
        <v>476.56</v>
      </c>
      <c r="G395">
        <f t="shared" si="19"/>
        <v>477</v>
      </c>
      <c r="H395" s="10">
        <v>45351</v>
      </c>
      <c r="I395" s="16" t="str">
        <f t="shared" si="20"/>
        <v>Thursday</v>
      </c>
      <c r="J395" s="9" t="s">
        <v>13</v>
      </c>
      <c r="K395" s="9" t="s">
        <v>19</v>
      </c>
      <c r="L395" s="9" t="s">
        <v>830</v>
      </c>
      <c r="M395" s="16" t="str">
        <f t="shared" si="21"/>
        <v>low</v>
      </c>
    </row>
    <row r="396" spans="1:13" x14ac:dyDescent="0.25">
      <c r="A396" s="5" t="s">
        <v>831</v>
      </c>
      <c r="B396" s="6" t="s">
        <v>26</v>
      </c>
      <c r="C396" s="6" t="s">
        <v>23</v>
      </c>
      <c r="D396" s="6">
        <v>6</v>
      </c>
      <c r="E396" s="6">
        <v>375.84</v>
      </c>
      <c r="F396" s="6">
        <v>2255.04</v>
      </c>
      <c r="G396">
        <f t="shared" si="19"/>
        <v>2256</v>
      </c>
      <c r="H396" s="7">
        <v>45479</v>
      </c>
      <c r="I396" s="16" t="str">
        <f t="shared" si="20"/>
        <v>Saturday</v>
      </c>
      <c r="J396" s="6" t="s">
        <v>48</v>
      </c>
      <c r="K396" s="6" t="s">
        <v>19</v>
      </c>
      <c r="L396" s="6" t="s">
        <v>832</v>
      </c>
      <c r="M396" s="16" t="str">
        <f t="shared" si="21"/>
        <v>high</v>
      </c>
    </row>
    <row r="397" spans="1:13" x14ac:dyDescent="0.25">
      <c r="A397" s="8" t="s">
        <v>833</v>
      </c>
      <c r="B397" s="9" t="s">
        <v>159</v>
      </c>
      <c r="C397" s="9" t="s">
        <v>63</v>
      </c>
      <c r="D397" s="9">
        <v>9</v>
      </c>
      <c r="E397" s="9">
        <v>287.60000000000002</v>
      </c>
      <c r="F397" s="9">
        <v>2588.4</v>
      </c>
      <c r="G397">
        <f t="shared" si="19"/>
        <v>2589</v>
      </c>
      <c r="H397" s="10">
        <v>45389</v>
      </c>
      <c r="I397" s="16" t="str">
        <f t="shared" si="20"/>
        <v>Sunday</v>
      </c>
      <c r="J397" s="9" t="s">
        <v>18</v>
      </c>
      <c r="K397" s="9" t="s">
        <v>37</v>
      </c>
      <c r="L397" s="9" t="s">
        <v>834</v>
      </c>
      <c r="M397" s="16" t="str">
        <f t="shared" si="21"/>
        <v>high</v>
      </c>
    </row>
    <row r="398" spans="1:13" x14ac:dyDescent="0.25">
      <c r="A398" s="5" t="s">
        <v>835</v>
      </c>
      <c r="B398" s="6" t="s">
        <v>51</v>
      </c>
      <c r="C398" s="6" t="s">
        <v>44</v>
      </c>
      <c r="D398" s="6">
        <v>6</v>
      </c>
      <c r="E398" s="6">
        <v>310.99</v>
      </c>
      <c r="F398" s="6">
        <v>1865.94</v>
      </c>
      <c r="G398">
        <f t="shared" si="19"/>
        <v>1866</v>
      </c>
      <c r="H398" s="7">
        <v>45586</v>
      </c>
      <c r="I398" s="16" t="str">
        <f t="shared" si="20"/>
        <v>Monday</v>
      </c>
      <c r="J398" s="6" t="s">
        <v>31</v>
      </c>
      <c r="K398" s="6" t="s">
        <v>19</v>
      </c>
      <c r="L398" s="6" t="s">
        <v>836</v>
      </c>
      <c r="M398" s="16" t="str">
        <f t="shared" si="21"/>
        <v>low</v>
      </c>
    </row>
    <row r="399" spans="1:13" x14ac:dyDescent="0.25">
      <c r="A399" s="8" t="s">
        <v>837</v>
      </c>
      <c r="B399" s="9" t="s">
        <v>26</v>
      </c>
      <c r="C399" s="9" t="s">
        <v>23</v>
      </c>
      <c r="D399" s="9">
        <v>8</v>
      </c>
      <c r="E399" s="9">
        <v>9.84</v>
      </c>
      <c r="F399" s="9">
        <v>78.72</v>
      </c>
      <c r="G399">
        <f t="shared" si="19"/>
        <v>79</v>
      </c>
      <c r="H399" s="10">
        <v>45791</v>
      </c>
      <c r="I399" s="16" t="str">
        <f t="shared" si="20"/>
        <v>Wednesday</v>
      </c>
      <c r="J399" s="9" t="s">
        <v>31</v>
      </c>
      <c r="K399" s="9" t="s">
        <v>37</v>
      </c>
      <c r="L399" s="9" t="s">
        <v>838</v>
      </c>
      <c r="M399" s="16" t="str">
        <f t="shared" si="21"/>
        <v>low</v>
      </c>
    </row>
    <row r="400" spans="1:13" x14ac:dyDescent="0.25">
      <c r="A400" s="5" t="s">
        <v>839</v>
      </c>
      <c r="B400" s="6" t="s">
        <v>17</v>
      </c>
      <c r="C400" s="6" t="s">
        <v>12</v>
      </c>
      <c r="D400" s="6">
        <v>1</v>
      </c>
      <c r="E400" s="6">
        <v>48.49</v>
      </c>
      <c r="F400" s="6">
        <v>48.49</v>
      </c>
      <c r="G400">
        <f t="shared" si="19"/>
        <v>49</v>
      </c>
      <c r="H400" s="7">
        <v>45899</v>
      </c>
      <c r="I400" s="16" t="str">
        <f t="shared" si="20"/>
        <v>Saturday</v>
      </c>
      <c r="J400" s="6" t="s">
        <v>13</v>
      </c>
      <c r="K400" s="6" t="s">
        <v>19</v>
      </c>
      <c r="L400" s="6" t="s">
        <v>840</v>
      </c>
      <c r="M400" s="16" t="str">
        <f t="shared" si="21"/>
        <v>low</v>
      </c>
    </row>
    <row r="401" spans="1:13" x14ac:dyDescent="0.25">
      <c r="A401" s="8" t="s">
        <v>841</v>
      </c>
      <c r="B401" s="9" t="s">
        <v>30</v>
      </c>
      <c r="C401" s="9" t="s">
        <v>12</v>
      </c>
      <c r="D401" s="9">
        <v>1</v>
      </c>
      <c r="E401" s="9">
        <v>413.13</v>
      </c>
      <c r="F401" s="9">
        <v>413.13</v>
      </c>
      <c r="G401">
        <f t="shared" si="19"/>
        <v>414</v>
      </c>
      <c r="H401" s="10">
        <v>45592</v>
      </c>
      <c r="I401" s="16" t="str">
        <f t="shared" si="20"/>
        <v>Sunday</v>
      </c>
      <c r="J401" s="9" t="s">
        <v>48</v>
      </c>
      <c r="K401" s="9" t="s">
        <v>27</v>
      </c>
      <c r="L401" s="9" t="s">
        <v>842</v>
      </c>
      <c r="M401" s="16" t="str">
        <f t="shared" si="21"/>
        <v>low</v>
      </c>
    </row>
    <row r="402" spans="1:13" x14ac:dyDescent="0.25">
      <c r="A402" s="5" t="s">
        <v>843</v>
      </c>
      <c r="B402" s="6" t="s">
        <v>40</v>
      </c>
      <c r="C402" s="6" t="s">
        <v>12</v>
      </c>
      <c r="D402" s="6">
        <v>7</v>
      </c>
      <c r="E402" s="6">
        <v>70.69</v>
      </c>
      <c r="F402" s="6">
        <v>494.83</v>
      </c>
      <c r="G402">
        <f t="shared" si="19"/>
        <v>495</v>
      </c>
      <c r="H402" s="7">
        <v>45797</v>
      </c>
      <c r="I402" s="16" t="str">
        <f t="shared" si="20"/>
        <v>Tuesday</v>
      </c>
      <c r="J402" s="6" t="s">
        <v>18</v>
      </c>
      <c r="K402" s="6" t="s">
        <v>14</v>
      </c>
      <c r="L402" s="6" t="s">
        <v>844</v>
      </c>
      <c r="M402" s="16" t="str">
        <f t="shared" si="21"/>
        <v>low</v>
      </c>
    </row>
    <row r="403" spans="1:13" x14ac:dyDescent="0.25">
      <c r="A403" s="8" t="s">
        <v>845</v>
      </c>
      <c r="B403" s="9" t="s">
        <v>81</v>
      </c>
      <c r="C403" s="9" t="s">
        <v>55</v>
      </c>
      <c r="D403" s="9">
        <v>2</v>
      </c>
      <c r="E403" s="9">
        <v>411.61</v>
      </c>
      <c r="F403" s="9">
        <v>823.22</v>
      </c>
      <c r="G403">
        <f t="shared" si="19"/>
        <v>824</v>
      </c>
      <c r="H403" s="10">
        <v>45032</v>
      </c>
      <c r="I403" s="16" t="str">
        <f t="shared" si="20"/>
        <v>Sunday</v>
      </c>
      <c r="J403" s="9" t="s">
        <v>31</v>
      </c>
      <c r="K403" s="9" t="s">
        <v>37</v>
      </c>
      <c r="L403" s="9" t="s">
        <v>846</v>
      </c>
      <c r="M403" s="16" t="str">
        <f t="shared" si="21"/>
        <v>low</v>
      </c>
    </row>
    <row r="404" spans="1:13" x14ac:dyDescent="0.25">
      <c r="A404" s="5" t="s">
        <v>847</v>
      </c>
      <c r="B404" s="6" t="s">
        <v>26</v>
      </c>
      <c r="C404" s="6" t="s">
        <v>23</v>
      </c>
      <c r="D404" s="6">
        <v>1</v>
      </c>
      <c r="E404" s="6">
        <v>476.02</v>
      </c>
      <c r="F404" s="6">
        <v>476.02</v>
      </c>
      <c r="G404">
        <f t="shared" si="19"/>
        <v>477</v>
      </c>
      <c r="H404" s="7">
        <v>45243</v>
      </c>
      <c r="I404" s="16" t="str">
        <f t="shared" si="20"/>
        <v>Monday</v>
      </c>
      <c r="J404" s="6" t="s">
        <v>13</v>
      </c>
      <c r="K404" s="6" t="s">
        <v>14</v>
      </c>
      <c r="L404" s="6" t="s">
        <v>848</v>
      </c>
      <c r="M404" s="16" t="str">
        <f t="shared" si="21"/>
        <v>low</v>
      </c>
    </row>
    <row r="405" spans="1:13" x14ac:dyDescent="0.25">
      <c r="A405" s="8" t="s">
        <v>849</v>
      </c>
      <c r="B405" s="9" t="s">
        <v>96</v>
      </c>
      <c r="C405" s="9" t="s">
        <v>44</v>
      </c>
      <c r="D405" s="9">
        <v>6</v>
      </c>
      <c r="E405" s="9">
        <v>299.41000000000003</v>
      </c>
      <c r="F405" s="9">
        <v>1796.46</v>
      </c>
      <c r="G405">
        <f t="shared" si="19"/>
        <v>1797</v>
      </c>
      <c r="H405" s="10">
        <v>44999</v>
      </c>
      <c r="I405" s="16" t="str">
        <f t="shared" si="20"/>
        <v>Tuesday</v>
      </c>
      <c r="J405" s="9" t="s">
        <v>48</v>
      </c>
      <c r="K405" s="9" t="s">
        <v>27</v>
      </c>
      <c r="L405" s="9" t="s">
        <v>850</v>
      </c>
      <c r="M405" s="16" t="str">
        <f t="shared" si="21"/>
        <v>low</v>
      </c>
    </row>
    <row r="406" spans="1:13" x14ac:dyDescent="0.25">
      <c r="A406" s="5" t="s">
        <v>851</v>
      </c>
      <c r="B406" s="6" t="s">
        <v>47</v>
      </c>
      <c r="C406" s="6" t="s">
        <v>44</v>
      </c>
      <c r="D406" s="6">
        <v>2</v>
      </c>
      <c r="E406" s="6">
        <v>467.92</v>
      </c>
      <c r="F406" s="6">
        <v>935.84</v>
      </c>
      <c r="G406">
        <f t="shared" si="19"/>
        <v>936</v>
      </c>
      <c r="H406" s="7">
        <v>45766</v>
      </c>
      <c r="I406" s="16" t="str">
        <f t="shared" si="20"/>
        <v>Saturday</v>
      </c>
      <c r="J406" s="6" t="s">
        <v>31</v>
      </c>
      <c r="K406" s="6" t="s">
        <v>14</v>
      </c>
      <c r="L406" s="6" t="s">
        <v>852</v>
      </c>
      <c r="M406" s="16" t="str">
        <f t="shared" si="21"/>
        <v>low</v>
      </c>
    </row>
    <row r="407" spans="1:13" x14ac:dyDescent="0.25">
      <c r="A407" s="8" t="s">
        <v>853</v>
      </c>
      <c r="B407" s="9" t="s">
        <v>58</v>
      </c>
      <c r="C407" s="9" t="s">
        <v>59</v>
      </c>
      <c r="D407" s="9">
        <v>4</v>
      </c>
      <c r="E407" s="9">
        <v>173.03</v>
      </c>
      <c r="F407" s="9">
        <v>692.12</v>
      </c>
      <c r="G407">
        <f t="shared" si="19"/>
        <v>693</v>
      </c>
      <c r="H407" s="10">
        <v>45177</v>
      </c>
      <c r="I407" s="16" t="str">
        <f t="shared" si="20"/>
        <v>Friday</v>
      </c>
      <c r="J407" s="9" t="s">
        <v>18</v>
      </c>
      <c r="K407" s="9" t="s">
        <v>27</v>
      </c>
      <c r="L407" s="9" t="s">
        <v>854</v>
      </c>
      <c r="M407" s="16" t="str">
        <f t="shared" si="21"/>
        <v>low</v>
      </c>
    </row>
    <row r="408" spans="1:13" x14ac:dyDescent="0.25">
      <c r="A408" s="5" t="s">
        <v>855</v>
      </c>
      <c r="B408" s="6" t="s">
        <v>43</v>
      </c>
      <c r="C408" s="6" t="s">
        <v>44</v>
      </c>
      <c r="D408" s="6">
        <v>7</v>
      </c>
      <c r="E408" s="6">
        <v>332.11</v>
      </c>
      <c r="F408" s="6">
        <v>2324.77</v>
      </c>
      <c r="G408">
        <f t="shared" si="19"/>
        <v>2325</v>
      </c>
      <c r="H408" s="7">
        <v>45134</v>
      </c>
      <c r="I408" s="16" t="str">
        <f t="shared" si="20"/>
        <v>Thursday</v>
      </c>
      <c r="J408" s="6" t="s">
        <v>48</v>
      </c>
      <c r="K408" s="6" t="s">
        <v>19</v>
      </c>
      <c r="L408" s="6" t="s">
        <v>856</v>
      </c>
      <c r="M408" s="16" t="str">
        <f t="shared" si="21"/>
        <v>high</v>
      </c>
    </row>
    <row r="409" spans="1:13" x14ac:dyDescent="0.25">
      <c r="A409" s="8" t="s">
        <v>857</v>
      </c>
      <c r="B409" s="9" t="s">
        <v>17</v>
      </c>
      <c r="C409" s="9" t="s">
        <v>12</v>
      </c>
      <c r="D409" s="9">
        <v>6</v>
      </c>
      <c r="E409" s="9">
        <v>409.56</v>
      </c>
      <c r="F409" s="9">
        <v>2457.36</v>
      </c>
      <c r="G409">
        <f t="shared" si="19"/>
        <v>2458</v>
      </c>
      <c r="H409" s="10">
        <v>45336</v>
      </c>
      <c r="I409" s="16" t="str">
        <f t="shared" si="20"/>
        <v>Wednesday</v>
      </c>
      <c r="J409" s="9" t="s">
        <v>13</v>
      </c>
      <c r="K409" s="9" t="s">
        <v>37</v>
      </c>
      <c r="L409" s="9" t="s">
        <v>858</v>
      </c>
      <c r="M409" s="16" t="str">
        <f t="shared" si="21"/>
        <v>high</v>
      </c>
    </row>
    <row r="410" spans="1:13" x14ac:dyDescent="0.25">
      <c r="A410" s="5" t="s">
        <v>859</v>
      </c>
      <c r="B410" s="6" t="s">
        <v>140</v>
      </c>
      <c r="C410" s="6" t="s">
        <v>59</v>
      </c>
      <c r="D410" s="6">
        <v>3</v>
      </c>
      <c r="E410" s="6">
        <v>25.17</v>
      </c>
      <c r="F410" s="6">
        <v>75.510000000000005</v>
      </c>
      <c r="G410">
        <f t="shared" si="19"/>
        <v>76</v>
      </c>
      <c r="H410" s="7">
        <v>45626</v>
      </c>
      <c r="I410" s="16" t="str">
        <f t="shared" si="20"/>
        <v>Saturday</v>
      </c>
      <c r="J410" s="6" t="s">
        <v>18</v>
      </c>
      <c r="K410" s="6" t="s">
        <v>37</v>
      </c>
      <c r="L410" s="6" t="s">
        <v>860</v>
      </c>
      <c r="M410" s="16" t="str">
        <f t="shared" si="21"/>
        <v>low</v>
      </c>
    </row>
    <row r="411" spans="1:13" x14ac:dyDescent="0.25">
      <c r="A411" s="8" t="s">
        <v>861</v>
      </c>
      <c r="B411" s="9" t="s">
        <v>87</v>
      </c>
      <c r="C411" s="9" t="s">
        <v>59</v>
      </c>
      <c r="D411" s="9">
        <v>2</v>
      </c>
      <c r="E411" s="9">
        <v>34.869999999999997</v>
      </c>
      <c r="F411" s="9">
        <v>69.739999999999995</v>
      </c>
      <c r="G411">
        <f t="shared" si="19"/>
        <v>70</v>
      </c>
      <c r="H411" s="10">
        <v>45013</v>
      </c>
      <c r="I411" s="16" t="str">
        <f t="shared" si="20"/>
        <v>Tuesday</v>
      </c>
      <c r="J411" s="9" t="s">
        <v>13</v>
      </c>
      <c r="K411" s="9" t="s">
        <v>37</v>
      </c>
      <c r="L411" s="9" t="s">
        <v>862</v>
      </c>
      <c r="M411" s="16" t="str">
        <f t="shared" si="21"/>
        <v>low</v>
      </c>
    </row>
    <row r="412" spans="1:13" x14ac:dyDescent="0.25">
      <c r="A412" s="5" t="s">
        <v>863</v>
      </c>
      <c r="B412" s="6" t="s">
        <v>17</v>
      </c>
      <c r="C412" s="6" t="s">
        <v>12</v>
      </c>
      <c r="D412" s="6">
        <v>3</v>
      </c>
      <c r="E412" s="6">
        <v>113.51</v>
      </c>
      <c r="F412" s="6">
        <v>340.53</v>
      </c>
      <c r="G412">
        <f t="shared" si="19"/>
        <v>341</v>
      </c>
      <c r="H412" s="7">
        <v>45493</v>
      </c>
      <c r="I412" s="16" t="str">
        <f t="shared" si="20"/>
        <v>Saturday</v>
      </c>
      <c r="J412" s="6" t="s">
        <v>31</v>
      </c>
      <c r="K412" s="6" t="s">
        <v>19</v>
      </c>
      <c r="L412" s="6" t="s">
        <v>864</v>
      </c>
      <c r="M412" s="16" t="str">
        <f t="shared" si="21"/>
        <v>low</v>
      </c>
    </row>
    <row r="413" spans="1:13" x14ac:dyDescent="0.25">
      <c r="A413" s="8" t="s">
        <v>865</v>
      </c>
      <c r="B413" s="9" t="s">
        <v>40</v>
      </c>
      <c r="C413" s="9" t="s">
        <v>12</v>
      </c>
      <c r="D413" s="9">
        <v>4</v>
      </c>
      <c r="E413" s="9">
        <v>373.42</v>
      </c>
      <c r="F413" s="9">
        <v>1493.68</v>
      </c>
      <c r="G413">
        <f t="shared" si="19"/>
        <v>1494</v>
      </c>
      <c r="H413" s="10">
        <v>45659</v>
      </c>
      <c r="I413" s="16" t="str">
        <f t="shared" si="20"/>
        <v>Thursday</v>
      </c>
      <c r="J413" s="9" t="s">
        <v>48</v>
      </c>
      <c r="K413" s="9" t="s">
        <v>27</v>
      </c>
      <c r="L413" s="9" t="s">
        <v>866</v>
      </c>
      <c r="M413" s="16" t="str">
        <f t="shared" si="21"/>
        <v>low</v>
      </c>
    </row>
    <row r="414" spans="1:13" x14ac:dyDescent="0.25">
      <c r="A414" s="5" t="s">
        <v>867</v>
      </c>
      <c r="B414" s="6" t="s">
        <v>81</v>
      </c>
      <c r="C414" s="6" t="s">
        <v>55</v>
      </c>
      <c r="D414" s="6">
        <v>7</v>
      </c>
      <c r="E414" s="6">
        <v>26.61</v>
      </c>
      <c r="F414" s="6">
        <v>186.27</v>
      </c>
      <c r="G414">
        <f t="shared" si="19"/>
        <v>187</v>
      </c>
      <c r="H414" s="7">
        <v>45738</v>
      </c>
      <c r="I414" s="16" t="str">
        <f t="shared" si="20"/>
        <v>Saturday</v>
      </c>
      <c r="J414" s="6" t="s">
        <v>48</v>
      </c>
      <c r="K414" s="6" t="s">
        <v>37</v>
      </c>
      <c r="L414" s="6" t="s">
        <v>868</v>
      </c>
      <c r="M414" s="16" t="str">
        <f t="shared" si="21"/>
        <v>low</v>
      </c>
    </row>
    <row r="415" spans="1:13" x14ac:dyDescent="0.25">
      <c r="A415" s="8" t="s">
        <v>869</v>
      </c>
      <c r="B415" s="9" t="s">
        <v>115</v>
      </c>
      <c r="C415" s="9" t="s">
        <v>55</v>
      </c>
      <c r="D415" s="9">
        <v>6</v>
      </c>
      <c r="E415" s="9">
        <v>361</v>
      </c>
      <c r="F415" s="9">
        <v>2166</v>
      </c>
      <c r="G415">
        <f t="shared" si="19"/>
        <v>2166</v>
      </c>
      <c r="H415" s="10">
        <v>45588</v>
      </c>
      <c r="I415" s="16" t="str">
        <f t="shared" si="20"/>
        <v>Wednesday</v>
      </c>
      <c r="J415" s="9" t="s">
        <v>48</v>
      </c>
      <c r="K415" s="9" t="s">
        <v>14</v>
      </c>
      <c r="L415" s="9" t="s">
        <v>870</v>
      </c>
      <c r="M415" s="16" t="str">
        <f t="shared" si="21"/>
        <v>high</v>
      </c>
    </row>
    <row r="416" spans="1:13" x14ac:dyDescent="0.25">
      <c r="A416" s="5" t="s">
        <v>871</v>
      </c>
      <c r="B416" s="6" t="s">
        <v>140</v>
      </c>
      <c r="C416" s="6" t="s">
        <v>59</v>
      </c>
      <c r="D416" s="6">
        <v>8</v>
      </c>
      <c r="E416" s="6">
        <v>487.52</v>
      </c>
      <c r="F416" s="6">
        <v>3900.16</v>
      </c>
      <c r="G416">
        <f t="shared" si="19"/>
        <v>3901</v>
      </c>
      <c r="H416" s="7">
        <v>45569</v>
      </c>
      <c r="I416" s="16" t="str">
        <f t="shared" si="20"/>
        <v>Friday</v>
      </c>
      <c r="J416" s="6" t="s">
        <v>18</v>
      </c>
      <c r="K416" s="6" t="s">
        <v>14</v>
      </c>
      <c r="L416" s="6" t="s">
        <v>872</v>
      </c>
      <c r="M416" s="16" t="str">
        <f t="shared" si="21"/>
        <v>high</v>
      </c>
    </row>
    <row r="417" spans="1:13" x14ac:dyDescent="0.25">
      <c r="A417" s="8" t="s">
        <v>873</v>
      </c>
      <c r="B417" s="9" t="s">
        <v>34</v>
      </c>
      <c r="C417" s="9" t="s">
        <v>23</v>
      </c>
      <c r="D417" s="9">
        <v>3</v>
      </c>
      <c r="E417" s="9">
        <v>114.18</v>
      </c>
      <c r="F417" s="9">
        <v>342.54</v>
      </c>
      <c r="G417">
        <f t="shared" si="19"/>
        <v>343</v>
      </c>
      <c r="H417" s="10">
        <v>45876</v>
      </c>
      <c r="I417" s="16" t="str">
        <f t="shared" si="20"/>
        <v>Thursday</v>
      </c>
      <c r="J417" s="9" t="s">
        <v>48</v>
      </c>
      <c r="K417" s="9" t="s">
        <v>27</v>
      </c>
      <c r="L417" s="9" t="s">
        <v>874</v>
      </c>
      <c r="M417" s="16" t="str">
        <f t="shared" si="21"/>
        <v>low</v>
      </c>
    </row>
    <row r="418" spans="1:13" x14ac:dyDescent="0.25">
      <c r="A418" s="5" t="s">
        <v>875</v>
      </c>
      <c r="B418" s="6" t="s">
        <v>140</v>
      </c>
      <c r="C418" s="6" t="s">
        <v>59</v>
      </c>
      <c r="D418" s="6">
        <v>1</v>
      </c>
      <c r="E418" s="6">
        <v>421.02</v>
      </c>
      <c r="F418" s="6">
        <v>421.02</v>
      </c>
      <c r="G418">
        <f t="shared" si="19"/>
        <v>422</v>
      </c>
      <c r="H418" s="7">
        <v>45743</v>
      </c>
      <c r="I418" s="16" t="str">
        <f t="shared" si="20"/>
        <v>Thursday</v>
      </c>
      <c r="J418" s="6" t="s">
        <v>18</v>
      </c>
      <c r="K418" s="6" t="s">
        <v>27</v>
      </c>
      <c r="L418" s="6" t="s">
        <v>876</v>
      </c>
      <c r="M418" s="16" t="str">
        <f t="shared" si="21"/>
        <v>low</v>
      </c>
    </row>
    <row r="419" spans="1:13" x14ac:dyDescent="0.25">
      <c r="A419" s="8" t="s">
        <v>877</v>
      </c>
      <c r="B419" s="9" t="s">
        <v>99</v>
      </c>
      <c r="C419" s="9" t="s">
        <v>55</v>
      </c>
      <c r="D419" s="9">
        <v>5</v>
      </c>
      <c r="E419" s="9">
        <v>364.95</v>
      </c>
      <c r="F419" s="9">
        <v>1824.75</v>
      </c>
      <c r="G419">
        <f t="shared" si="19"/>
        <v>1825</v>
      </c>
      <c r="H419" s="10">
        <v>45883</v>
      </c>
      <c r="I419" s="16" t="str">
        <f t="shared" si="20"/>
        <v>Thursday</v>
      </c>
      <c r="J419" s="9" t="s">
        <v>48</v>
      </c>
      <c r="K419" s="9" t="s">
        <v>27</v>
      </c>
      <c r="L419" s="9" t="s">
        <v>878</v>
      </c>
      <c r="M419" s="16" t="str">
        <f t="shared" si="21"/>
        <v>low</v>
      </c>
    </row>
    <row r="420" spans="1:13" x14ac:dyDescent="0.25">
      <c r="A420" s="5" t="s">
        <v>879</v>
      </c>
      <c r="B420" s="6" t="s">
        <v>140</v>
      </c>
      <c r="C420" s="6" t="s">
        <v>59</v>
      </c>
      <c r="D420" s="6">
        <v>4</v>
      </c>
      <c r="E420" s="6">
        <v>316.24</v>
      </c>
      <c r="F420" s="6">
        <v>1264.96</v>
      </c>
      <c r="G420">
        <f t="shared" si="19"/>
        <v>1265</v>
      </c>
      <c r="H420" s="7">
        <v>45658</v>
      </c>
      <c r="I420" s="16" t="str">
        <f t="shared" si="20"/>
        <v>Wednesday</v>
      </c>
      <c r="J420" s="6" t="s">
        <v>31</v>
      </c>
      <c r="K420" s="6" t="s">
        <v>27</v>
      </c>
      <c r="L420" s="6" t="s">
        <v>880</v>
      </c>
      <c r="M420" s="16" t="str">
        <f t="shared" si="21"/>
        <v>low</v>
      </c>
    </row>
    <row r="421" spans="1:13" x14ac:dyDescent="0.25">
      <c r="A421" s="8" t="s">
        <v>881</v>
      </c>
      <c r="B421" s="9" t="s">
        <v>87</v>
      </c>
      <c r="C421" s="9" t="s">
        <v>59</v>
      </c>
      <c r="D421" s="9">
        <v>4</v>
      </c>
      <c r="E421" s="9">
        <v>254.9</v>
      </c>
      <c r="F421" s="9">
        <v>1019.6</v>
      </c>
      <c r="G421">
        <f t="shared" si="19"/>
        <v>1020</v>
      </c>
      <c r="H421" s="10">
        <v>45488</v>
      </c>
      <c r="I421" s="16" t="str">
        <f t="shared" si="20"/>
        <v>Monday</v>
      </c>
      <c r="J421" s="9" t="s">
        <v>31</v>
      </c>
      <c r="K421" s="9" t="s">
        <v>27</v>
      </c>
      <c r="L421" s="9" t="s">
        <v>882</v>
      </c>
      <c r="M421" s="16" t="str">
        <f t="shared" si="21"/>
        <v>low</v>
      </c>
    </row>
    <row r="422" spans="1:13" x14ac:dyDescent="0.25">
      <c r="A422" s="5" t="s">
        <v>883</v>
      </c>
      <c r="B422" s="6" t="s">
        <v>231</v>
      </c>
      <c r="C422" s="6" t="s">
        <v>55</v>
      </c>
      <c r="D422" s="6">
        <v>3</v>
      </c>
      <c r="E422" s="6">
        <v>291.44</v>
      </c>
      <c r="F422" s="6">
        <v>874.32</v>
      </c>
      <c r="G422">
        <f t="shared" si="19"/>
        <v>875</v>
      </c>
      <c r="H422" s="7">
        <v>45346</v>
      </c>
      <c r="I422" s="16" t="str">
        <f t="shared" si="20"/>
        <v>Saturday</v>
      </c>
      <c r="J422" s="6" t="s">
        <v>31</v>
      </c>
      <c r="K422" s="6" t="s">
        <v>19</v>
      </c>
      <c r="L422" s="6" t="s">
        <v>884</v>
      </c>
      <c r="M422" s="16" t="str">
        <f t="shared" si="21"/>
        <v>low</v>
      </c>
    </row>
    <row r="423" spans="1:13" x14ac:dyDescent="0.25">
      <c r="A423" s="8" t="s">
        <v>885</v>
      </c>
      <c r="B423" s="9" t="s">
        <v>159</v>
      </c>
      <c r="C423" s="9" t="s">
        <v>63</v>
      </c>
      <c r="D423" s="9">
        <v>4</v>
      </c>
      <c r="E423" s="9">
        <v>437.34</v>
      </c>
      <c r="F423" s="9">
        <v>1749.36</v>
      </c>
      <c r="G423">
        <f t="shared" si="19"/>
        <v>1750</v>
      </c>
      <c r="H423" s="10">
        <v>45344</v>
      </c>
      <c r="I423" s="16" t="str">
        <f t="shared" si="20"/>
        <v>Thursday</v>
      </c>
      <c r="J423" s="9" t="s">
        <v>31</v>
      </c>
      <c r="K423" s="9" t="s">
        <v>37</v>
      </c>
      <c r="L423" s="9" t="s">
        <v>886</v>
      </c>
      <c r="M423" s="16" t="str">
        <f t="shared" si="21"/>
        <v>low</v>
      </c>
    </row>
    <row r="424" spans="1:13" x14ac:dyDescent="0.25">
      <c r="A424" s="5" t="s">
        <v>887</v>
      </c>
      <c r="B424" s="6" t="s">
        <v>231</v>
      </c>
      <c r="C424" s="6" t="s">
        <v>55</v>
      </c>
      <c r="D424" s="6">
        <v>6</v>
      </c>
      <c r="E424" s="6">
        <v>182.78</v>
      </c>
      <c r="F424" s="6">
        <v>1096.68</v>
      </c>
      <c r="G424">
        <f t="shared" si="19"/>
        <v>1097</v>
      </c>
      <c r="H424" s="7">
        <v>45569</v>
      </c>
      <c r="I424" s="16" t="str">
        <f t="shared" si="20"/>
        <v>Friday</v>
      </c>
      <c r="J424" s="6" t="s">
        <v>13</v>
      </c>
      <c r="K424" s="6" t="s">
        <v>19</v>
      </c>
      <c r="L424" s="6" t="s">
        <v>888</v>
      </c>
      <c r="M424" s="16" t="str">
        <f t="shared" si="21"/>
        <v>low</v>
      </c>
    </row>
    <row r="425" spans="1:13" x14ac:dyDescent="0.25">
      <c r="A425" s="8" t="s">
        <v>889</v>
      </c>
      <c r="B425" s="9" t="s">
        <v>164</v>
      </c>
      <c r="C425" s="9" t="s">
        <v>59</v>
      </c>
      <c r="D425" s="9">
        <v>8</v>
      </c>
      <c r="E425" s="9">
        <v>418.82</v>
      </c>
      <c r="F425" s="9">
        <v>3350.56</v>
      </c>
      <c r="G425">
        <f t="shared" si="19"/>
        <v>3351</v>
      </c>
      <c r="H425" s="10">
        <v>45663</v>
      </c>
      <c r="I425" s="16" t="str">
        <f t="shared" si="20"/>
        <v>Monday</v>
      </c>
      <c r="J425" s="9" t="s">
        <v>18</v>
      </c>
      <c r="K425" s="9" t="s">
        <v>27</v>
      </c>
      <c r="L425" s="9" t="s">
        <v>890</v>
      </c>
      <c r="M425" s="16" t="str">
        <f t="shared" si="21"/>
        <v>high</v>
      </c>
    </row>
    <row r="426" spans="1:13" x14ac:dyDescent="0.25">
      <c r="A426" s="5" t="s">
        <v>891</v>
      </c>
      <c r="B426" s="6" t="s">
        <v>99</v>
      </c>
      <c r="C426" s="6" t="s">
        <v>55</v>
      </c>
      <c r="D426" s="6">
        <v>4</v>
      </c>
      <c r="E426" s="6">
        <v>454.97</v>
      </c>
      <c r="F426" s="6">
        <v>1819.88</v>
      </c>
      <c r="G426">
        <f t="shared" si="19"/>
        <v>1820</v>
      </c>
      <c r="H426" s="7">
        <v>45525</v>
      </c>
      <c r="I426" s="16" t="str">
        <f t="shared" si="20"/>
        <v>Wednesday</v>
      </c>
      <c r="J426" s="6" t="s">
        <v>48</v>
      </c>
      <c r="K426" s="6" t="s">
        <v>19</v>
      </c>
      <c r="L426" s="6" t="s">
        <v>892</v>
      </c>
      <c r="M426" s="16" t="str">
        <f t="shared" si="21"/>
        <v>low</v>
      </c>
    </row>
    <row r="427" spans="1:13" x14ac:dyDescent="0.25">
      <c r="A427" s="8" t="s">
        <v>893</v>
      </c>
      <c r="B427" s="9" t="s">
        <v>17</v>
      </c>
      <c r="C427" s="9" t="s">
        <v>12</v>
      </c>
      <c r="D427" s="9">
        <v>2</v>
      </c>
      <c r="E427" s="9">
        <v>94.58</v>
      </c>
      <c r="F427" s="9">
        <v>189.16</v>
      </c>
      <c r="G427">
        <f t="shared" si="19"/>
        <v>190</v>
      </c>
      <c r="H427" s="10">
        <v>45763</v>
      </c>
      <c r="I427" s="16" t="str">
        <f t="shared" si="20"/>
        <v>Wednesday</v>
      </c>
      <c r="J427" s="9" t="s">
        <v>13</v>
      </c>
      <c r="K427" s="9" t="s">
        <v>37</v>
      </c>
      <c r="L427" s="9" t="s">
        <v>894</v>
      </c>
      <c r="M427" s="16" t="str">
        <f t="shared" si="21"/>
        <v>low</v>
      </c>
    </row>
    <row r="428" spans="1:13" x14ac:dyDescent="0.25">
      <c r="A428" s="5" t="s">
        <v>895</v>
      </c>
      <c r="B428" s="6" t="s">
        <v>26</v>
      </c>
      <c r="C428" s="6" t="s">
        <v>23</v>
      </c>
      <c r="D428" s="6">
        <v>6</v>
      </c>
      <c r="E428" s="6">
        <v>436.02</v>
      </c>
      <c r="F428" s="6">
        <v>2616.12</v>
      </c>
      <c r="G428">
        <f t="shared" si="19"/>
        <v>2617</v>
      </c>
      <c r="H428" s="7">
        <v>45549</v>
      </c>
      <c r="I428" s="16" t="str">
        <f t="shared" si="20"/>
        <v>Saturday</v>
      </c>
      <c r="J428" s="6" t="s">
        <v>13</v>
      </c>
      <c r="K428" s="6" t="s">
        <v>19</v>
      </c>
      <c r="L428" s="6" t="s">
        <v>896</v>
      </c>
      <c r="M428" s="16" t="str">
        <f t="shared" si="21"/>
        <v>high</v>
      </c>
    </row>
    <row r="429" spans="1:13" x14ac:dyDescent="0.25">
      <c r="A429" s="8" t="s">
        <v>897</v>
      </c>
      <c r="B429" s="9" t="s">
        <v>34</v>
      </c>
      <c r="C429" s="9" t="s">
        <v>23</v>
      </c>
      <c r="D429" s="9">
        <v>8</v>
      </c>
      <c r="E429" s="9">
        <v>291.81</v>
      </c>
      <c r="F429" s="9">
        <v>2334.48</v>
      </c>
      <c r="G429">
        <f t="shared" si="19"/>
        <v>2335</v>
      </c>
      <c r="H429" s="10">
        <v>45010</v>
      </c>
      <c r="I429" s="16" t="str">
        <f t="shared" si="20"/>
        <v>Saturday</v>
      </c>
      <c r="J429" s="9" t="s">
        <v>31</v>
      </c>
      <c r="K429" s="9" t="s">
        <v>14</v>
      </c>
      <c r="L429" s="9" t="s">
        <v>898</v>
      </c>
      <c r="M429" s="16" t="str">
        <f t="shared" si="21"/>
        <v>high</v>
      </c>
    </row>
    <row r="430" spans="1:13" x14ac:dyDescent="0.25">
      <c r="A430" s="5" t="s">
        <v>899</v>
      </c>
      <c r="B430" s="6" t="s">
        <v>110</v>
      </c>
      <c r="C430" s="6" t="s">
        <v>63</v>
      </c>
      <c r="D430" s="6">
        <v>7</v>
      </c>
      <c r="E430" s="6">
        <v>85.94</v>
      </c>
      <c r="F430" s="6">
        <v>601.58000000000004</v>
      </c>
      <c r="G430">
        <f t="shared" si="19"/>
        <v>602</v>
      </c>
      <c r="H430" s="7">
        <v>45817</v>
      </c>
      <c r="I430" s="16" t="str">
        <f t="shared" si="20"/>
        <v>Monday</v>
      </c>
      <c r="J430" s="6" t="s">
        <v>18</v>
      </c>
      <c r="K430" s="6" t="s">
        <v>37</v>
      </c>
      <c r="L430" s="6" t="s">
        <v>900</v>
      </c>
      <c r="M430" s="16" t="str">
        <f t="shared" si="21"/>
        <v>low</v>
      </c>
    </row>
    <row r="431" spans="1:13" x14ac:dyDescent="0.25">
      <c r="A431" s="8" t="s">
        <v>901</v>
      </c>
      <c r="B431" s="9" t="s">
        <v>175</v>
      </c>
      <c r="C431" s="9" t="s">
        <v>12</v>
      </c>
      <c r="D431" s="9">
        <v>2</v>
      </c>
      <c r="E431" s="9">
        <v>429.7</v>
      </c>
      <c r="F431" s="9">
        <v>859.4</v>
      </c>
      <c r="G431">
        <f t="shared" si="19"/>
        <v>860</v>
      </c>
      <c r="H431" s="10">
        <v>45187</v>
      </c>
      <c r="I431" s="16" t="str">
        <f t="shared" si="20"/>
        <v>Monday</v>
      </c>
      <c r="J431" s="9" t="s">
        <v>31</v>
      </c>
      <c r="K431" s="9" t="s">
        <v>19</v>
      </c>
      <c r="L431" s="9" t="s">
        <v>902</v>
      </c>
      <c r="M431" s="16" t="str">
        <f t="shared" si="21"/>
        <v>low</v>
      </c>
    </row>
    <row r="432" spans="1:13" x14ac:dyDescent="0.25">
      <c r="A432" s="5" t="s">
        <v>903</v>
      </c>
      <c r="B432" s="6" t="s">
        <v>43</v>
      </c>
      <c r="C432" s="6" t="s">
        <v>44</v>
      </c>
      <c r="D432" s="6">
        <v>8</v>
      </c>
      <c r="E432" s="6">
        <v>201.35</v>
      </c>
      <c r="F432" s="6">
        <v>1610.8</v>
      </c>
      <c r="G432">
        <f t="shared" si="19"/>
        <v>1611</v>
      </c>
      <c r="H432" s="7">
        <v>45845</v>
      </c>
      <c r="I432" s="16" t="str">
        <f t="shared" si="20"/>
        <v>Monday</v>
      </c>
      <c r="J432" s="6" t="s">
        <v>18</v>
      </c>
      <c r="K432" s="6" t="s">
        <v>14</v>
      </c>
      <c r="L432" s="6" t="s">
        <v>399</v>
      </c>
      <c r="M432" s="16" t="str">
        <f t="shared" si="21"/>
        <v>low</v>
      </c>
    </row>
    <row r="433" spans="1:13" x14ac:dyDescent="0.25">
      <c r="A433" s="8" t="s">
        <v>904</v>
      </c>
      <c r="B433" s="9" t="s">
        <v>54</v>
      </c>
      <c r="C433" s="9" t="s">
        <v>55</v>
      </c>
      <c r="D433" s="9">
        <v>3</v>
      </c>
      <c r="E433" s="9">
        <v>223.8</v>
      </c>
      <c r="F433" s="9">
        <v>671.4</v>
      </c>
      <c r="G433">
        <f t="shared" si="19"/>
        <v>672</v>
      </c>
      <c r="H433" s="10">
        <v>45518</v>
      </c>
      <c r="I433" s="16" t="str">
        <f t="shared" si="20"/>
        <v>Wednesday</v>
      </c>
      <c r="J433" s="9" t="s">
        <v>31</v>
      </c>
      <c r="K433" s="9" t="s">
        <v>19</v>
      </c>
      <c r="L433" s="9" t="s">
        <v>905</v>
      </c>
      <c r="M433" s="16" t="str">
        <f t="shared" si="21"/>
        <v>low</v>
      </c>
    </row>
    <row r="434" spans="1:13" x14ac:dyDescent="0.25">
      <c r="A434" s="5" t="s">
        <v>906</v>
      </c>
      <c r="B434" s="6" t="s">
        <v>30</v>
      </c>
      <c r="C434" s="6" t="s">
        <v>12</v>
      </c>
      <c r="D434" s="6">
        <v>9</v>
      </c>
      <c r="E434" s="6">
        <v>218.29</v>
      </c>
      <c r="F434" s="6">
        <v>1964.61</v>
      </c>
      <c r="G434">
        <f t="shared" si="19"/>
        <v>1965</v>
      </c>
      <c r="H434" s="7">
        <v>45202</v>
      </c>
      <c r="I434" s="16" t="str">
        <f t="shared" si="20"/>
        <v>Tuesday</v>
      </c>
      <c r="J434" s="6" t="s">
        <v>13</v>
      </c>
      <c r="K434" s="6" t="s">
        <v>19</v>
      </c>
      <c r="L434" s="6" t="s">
        <v>195</v>
      </c>
      <c r="M434" s="16" t="str">
        <f t="shared" si="21"/>
        <v>low</v>
      </c>
    </row>
    <row r="435" spans="1:13" x14ac:dyDescent="0.25">
      <c r="A435" s="8" t="s">
        <v>907</v>
      </c>
      <c r="B435" s="9" t="s">
        <v>43</v>
      </c>
      <c r="C435" s="9" t="s">
        <v>44</v>
      </c>
      <c r="D435" s="9">
        <v>1</v>
      </c>
      <c r="E435" s="9">
        <v>130</v>
      </c>
      <c r="F435" s="9">
        <v>130</v>
      </c>
      <c r="G435">
        <f t="shared" si="19"/>
        <v>130</v>
      </c>
      <c r="H435" s="10">
        <v>45812</v>
      </c>
      <c r="I435" s="16" t="str">
        <f t="shared" si="20"/>
        <v>Wednesday</v>
      </c>
      <c r="J435" s="9" t="s">
        <v>13</v>
      </c>
      <c r="K435" s="9" t="s">
        <v>37</v>
      </c>
      <c r="L435" s="9" t="s">
        <v>908</v>
      </c>
      <c r="M435" s="16" t="str">
        <f t="shared" si="21"/>
        <v>low</v>
      </c>
    </row>
    <row r="436" spans="1:13" x14ac:dyDescent="0.25">
      <c r="A436" s="5" t="s">
        <v>909</v>
      </c>
      <c r="B436" s="6" t="s">
        <v>96</v>
      </c>
      <c r="C436" s="6" t="s">
        <v>44</v>
      </c>
      <c r="D436" s="6">
        <v>9</v>
      </c>
      <c r="E436" s="6">
        <v>304.74</v>
      </c>
      <c r="F436" s="6">
        <v>2742.66</v>
      </c>
      <c r="G436">
        <f t="shared" si="19"/>
        <v>2743</v>
      </c>
      <c r="H436" s="7">
        <v>45613</v>
      </c>
      <c r="I436" s="16" t="str">
        <f t="shared" si="20"/>
        <v>Sunday</v>
      </c>
      <c r="J436" s="6" t="s">
        <v>31</v>
      </c>
      <c r="K436" s="6" t="s">
        <v>14</v>
      </c>
      <c r="L436" s="6" t="s">
        <v>910</v>
      </c>
      <c r="M436" s="16" t="str">
        <f t="shared" si="21"/>
        <v>high</v>
      </c>
    </row>
    <row r="437" spans="1:13" x14ac:dyDescent="0.25">
      <c r="A437" s="8" t="s">
        <v>911</v>
      </c>
      <c r="B437" s="9" t="s">
        <v>34</v>
      </c>
      <c r="C437" s="9" t="s">
        <v>23</v>
      </c>
      <c r="D437" s="9">
        <v>5</v>
      </c>
      <c r="E437" s="9">
        <v>391.99</v>
      </c>
      <c r="F437" s="9">
        <v>1959.95</v>
      </c>
      <c r="G437">
        <f t="shared" si="19"/>
        <v>1960</v>
      </c>
      <c r="H437" s="10">
        <v>45558</v>
      </c>
      <c r="I437" s="16" t="str">
        <f t="shared" si="20"/>
        <v>Monday</v>
      </c>
      <c r="J437" s="9" t="s">
        <v>18</v>
      </c>
      <c r="K437" s="9" t="s">
        <v>37</v>
      </c>
      <c r="L437" s="9" t="s">
        <v>912</v>
      </c>
      <c r="M437" s="16" t="str">
        <f t="shared" si="21"/>
        <v>low</v>
      </c>
    </row>
    <row r="438" spans="1:13" x14ac:dyDescent="0.25">
      <c r="A438" s="5" t="s">
        <v>913</v>
      </c>
      <c r="B438" s="6" t="s">
        <v>115</v>
      </c>
      <c r="C438" s="6" t="s">
        <v>55</v>
      </c>
      <c r="D438" s="6">
        <v>6</v>
      </c>
      <c r="E438" s="6">
        <v>106.89</v>
      </c>
      <c r="F438" s="6">
        <v>641.34</v>
      </c>
      <c r="G438">
        <f t="shared" si="19"/>
        <v>642</v>
      </c>
      <c r="H438" s="7">
        <v>45883</v>
      </c>
      <c r="I438" s="16" t="str">
        <f t="shared" si="20"/>
        <v>Thursday</v>
      </c>
      <c r="J438" s="6" t="s">
        <v>31</v>
      </c>
      <c r="K438" s="6" t="s">
        <v>37</v>
      </c>
      <c r="L438" s="6" t="s">
        <v>914</v>
      </c>
      <c r="M438" s="16" t="str">
        <f t="shared" si="21"/>
        <v>low</v>
      </c>
    </row>
    <row r="439" spans="1:13" x14ac:dyDescent="0.25">
      <c r="A439" s="8" t="s">
        <v>915</v>
      </c>
      <c r="B439" s="9" t="s">
        <v>47</v>
      </c>
      <c r="C439" s="9" t="s">
        <v>44</v>
      </c>
      <c r="D439" s="9">
        <v>2</v>
      </c>
      <c r="E439" s="9">
        <v>493.41</v>
      </c>
      <c r="F439" s="9">
        <v>986.82</v>
      </c>
      <c r="G439">
        <f t="shared" si="19"/>
        <v>987</v>
      </c>
      <c r="H439" s="10">
        <v>45895</v>
      </c>
      <c r="I439" s="16" t="str">
        <f t="shared" si="20"/>
        <v>Tuesday</v>
      </c>
      <c r="J439" s="9" t="s">
        <v>13</v>
      </c>
      <c r="K439" s="9" t="s">
        <v>14</v>
      </c>
      <c r="L439" s="9" t="s">
        <v>916</v>
      </c>
      <c r="M439" s="16" t="str">
        <f t="shared" si="21"/>
        <v>low</v>
      </c>
    </row>
    <row r="440" spans="1:13" x14ac:dyDescent="0.25">
      <c r="A440" s="5" t="s">
        <v>917</v>
      </c>
      <c r="B440" s="6" t="s">
        <v>250</v>
      </c>
      <c r="C440" s="6" t="s">
        <v>63</v>
      </c>
      <c r="D440" s="6">
        <v>1</v>
      </c>
      <c r="E440" s="6">
        <v>65.44</v>
      </c>
      <c r="F440" s="6">
        <v>65.44</v>
      </c>
      <c r="G440">
        <f t="shared" si="19"/>
        <v>66</v>
      </c>
      <c r="H440" s="7">
        <v>45124</v>
      </c>
      <c r="I440" s="16" t="str">
        <f t="shared" si="20"/>
        <v>Monday</v>
      </c>
      <c r="J440" s="6" t="s">
        <v>18</v>
      </c>
      <c r="K440" s="6" t="s">
        <v>19</v>
      </c>
      <c r="L440" s="6" t="s">
        <v>918</v>
      </c>
      <c r="M440" s="16" t="str">
        <f t="shared" si="21"/>
        <v>low</v>
      </c>
    </row>
    <row r="441" spans="1:13" x14ac:dyDescent="0.25">
      <c r="A441" s="8" t="s">
        <v>919</v>
      </c>
      <c r="B441" s="9" t="s">
        <v>250</v>
      </c>
      <c r="C441" s="9" t="s">
        <v>63</v>
      </c>
      <c r="D441" s="9">
        <v>5</v>
      </c>
      <c r="E441" s="9">
        <v>56.14</v>
      </c>
      <c r="F441" s="9">
        <v>280.7</v>
      </c>
      <c r="G441">
        <f t="shared" si="19"/>
        <v>281</v>
      </c>
      <c r="H441" s="10">
        <v>45617</v>
      </c>
      <c r="I441" s="16" t="str">
        <f t="shared" si="20"/>
        <v>Thursday</v>
      </c>
      <c r="J441" s="9" t="s">
        <v>31</v>
      </c>
      <c r="K441" s="9" t="s">
        <v>37</v>
      </c>
      <c r="L441" s="9" t="s">
        <v>920</v>
      </c>
      <c r="M441" s="16" t="str">
        <f t="shared" si="21"/>
        <v>low</v>
      </c>
    </row>
    <row r="442" spans="1:13" x14ac:dyDescent="0.25">
      <c r="A442" s="5" t="s">
        <v>921</v>
      </c>
      <c r="B442" s="6" t="s">
        <v>115</v>
      </c>
      <c r="C442" s="6" t="s">
        <v>55</v>
      </c>
      <c r="D442" s="6">
        <v>4</v>
      </c>
      <c r="E442" s="6">
        <v>493.38</v>
      </c>
      <c r="F442" s="6">
        <v>1973.52</v>
      </c>
      <c r="G442">
        <f t="shared" si="19"/>
        <v>1974</v>
      </c>
      <c r="H442" s="7">
        <v>45142</v>
      </c>
      <c r="I442" s="16" t="str">
        <f t="shared" si="20"/>
        <v>Friday</v>
      </c>
      <c r="J442" s="6" t="s">
        <v>48</v>
      </c>
      <c r="K442" s="6" t="s">
        <v>27</v>
      </c>
      <c r="L442" s="6" t="s">
        <v>922</v>
      </c>
      <c r="M442" s="16" t="str">
        <f t="shared" si="21"/>
        <v>low</v>
      </c>
    </row>
    <row r="443" spans="1:13" x14ac:dyDescent="0.25">
      <c r="A443" s="8" t="s">
        <v>923</v>
      </c>
      <c r="B443" s="9" t="s">
        <v>110</v>
      </c>
      <c r="C443" s="9" t="s">
        <v>63</v>
      </c>
      <c r="D443" s="9">
        <v>2</v>
      </c>
      <c r="E443" s="9">
        <v>164.95</v>
      </c>
      <c r="F443" s="9">
        <v>329.9</v>
      </c>
      <c r="G443">
        <f t="shared" si="19"/>
        <v>330</v>
      </c>
      <c r="H443" s="10">
        <v>45723</v>
      </c>
      <c r="I443" s="16" t="str">
        <f t="shared" si="20"/>
        <v>Friday</v>
      </c>
      <c r="J443" s="9" t="s">
        <v>31</v>
      </c>
      <c r="K443" s="9" t="s">
        <v>37</v>
      </c>
      <c r="L443" s="9" t="s">
        <v>468</v>
      </c>
      <c r="M443" s="16" t="str">
        <f t="shared" si="21"/>
        <v>low</v>
      </c>
    </row>
    <row r="444" spans="1:13" x14ac:dyDescent="0.25">
      <c r="A444" s="5" t="s">
        <v>924</v>
      </c>
      <c r="B444" s="6" t="s">
        <v>164</v>
      </c>
      <c r="C444" s="6" t="s">
        <v>59</v>
      </c>
      <c r="D444" s="6">
        <v>8</v>
      </c>
      <c r="E444" s="6">
        <v>260.22000000000003</v>
      </c>
      <c r="F444" s="6">
        <v>2081.7600000000002</v>
      </c>
      <c r="G444">
        <f t="shared" si="19"/>
        <v>2082</v>
      </c>
      <c r="H444" s="7">
        <v>45104</v>
      </c>
      <c r="I444" s="16" t="str">
        <f t="shared" si="20"/>
        <v>Tuesday</v>
      </c>
      <c r="J444" s="6" t="s">
        <v>48</v>
      </c>
      <c r="K444" s="6" t="s">
        <v>37</v>
      </c>
      <c r="L444" s="6" t="s">
        <v>925</v>
      </c>
      <c r="M444" s="16" t="str">
        <f t="shared" si="21"/>
        <v>high</v>
      </c>
    </row>
    <row r="445" spans="1:13" x14ac:dyDescent="0.25">
      <c r="A445" s="8" t="s">
        <v>926</v>
      </c>
      <c r="B445" s="9" t="s">
        <v>96</v>
      </c>
      <c r="C445" s="9" t="s">
        <v>44</v>
      </c>
      <c r="D445" s="9">
        <v>6</v>
      </c>
      <c r="E445" s="9">
        <v>74.13</v>
      </c>
      <c r="F445" s="9">
        <v>444.78</v>
      </c>
      <c r="G445">
        <f t="shared" si="19"/>
        <v>445</v>
      </c>
      <c r="H445" s="10">
        <v>45310</v>
      </c>
      <c r="I445" s="16" t="str">
        <f t="shared" si="20"/>
        <v>Friday</v>
      </c>
      <c r="J445" s="9" t="s">
        <v>13</v>
      </c>
      <c r="K445" s="9" t="s">
        <v>14</v>
      </c>
      <c r="L445" s="9" t="s">
        <v>927</v>
      </c>
      <c r="M445" s="16" t="str">
        <f t="shared" si="21"/>
        <v>low</v>
      </c>
    </row>
    <row r="446" spans="1:13" x14ac:dyDescent="0.25">
      <c r="A446" s="5" t="s">
        <v>928</v>
      </c>
      <c r="B446" s="6" t="s">
        <v>164</v>
      </c>
      <c r="C446" s="6" t="s">
        <v>59</v>
      </c>
      <c r="D446" s="6">
        <v>4</v>
      </c>
      <c r="E446" s="6">
        <v>353.82</v>
      </c>
      <c r="F446" s="6">
        <v>1415.28</v>
      </c>
      <c r="G446">
        <f t="shared" si="19"/>
        <v>1416</v>
      </c>
      <c r="H446" s="7">
        <v>45672</v>
      </c>
      <c r="I446" s="16" t="str">
        <f t="shared" si="20"/>
        <v>Wednesday</v>
      </c>
      <c r="J446" s="6" t="s">
        <v>48</v>
      </c>
      <c r="K446" s="6" t="s">
        <v>27</v>
      </c>
      <c r="L446" s="6" t="s">
        <v>929</v>
      </c>
      <c r="M446" s="16" t="str">
        <f t="shared" si="21"/>
        <v>low</v>
      </c>
    </row>
    <row r="447" spans="1:13" x14ac:dyDescent="0.25">
      <c r="A447" s="8" t="s">
        <v>930</v>
      </c>
      <c r="B447" s="9" t="s">
        <v>175</v>
      </c>
      <c r="C447" s="9" t="s">
        <v>12</v>
      </c>
      <c r="D447" s="9">
        <v>7</v>
      </c>
      <c r="E447" s="9">
        <v>85.38</v>
      </c>
      <c r="F447" s="9">
        <v>597.66</v>
      </c>
      <c r="G447">
        <f t="shared" si="19"/>
        <v>598</v>
      </c>
      <c r="H447" s="10">
        <v>45267</v>
      </c>
      <c r="I447" s="16" t="str">
        <f t="shared" si="20"/>
        <v>Thursday</v>
      </c>
      <c r="J447" s="9" t="s">
        <v>48</v>
      </c>
      <c r="K447" s="9" t="s">
        <v>14</v>
      </c>
      <c r="L447" s="9" t="s">
        <v>931</v>
      </c>
      <c r="M447" s="16" t="str">
        <f t="shared" si="21"/>
        <v>low</v>
      </c>
    </row>
    <row r="448" spans="1:13" x14ac:dyDescent="0.25">
      <c r="A448" s="5" t="s">
        <v>932</v>
      </c>
      <c r="B448" s="6" t="s">
        <v>58</v>
      </c>
      <c r="C448" s="6" t="s">
        <v>59</v>
      </c>
      <c r="D448" s="6">
        <v>7</v>
      </c>
      <c r="E448" s="6">
        <v>337.94</v>
      </c>
      <c r="F448" s="6">
        <v>2365.58</v>
      </c>
      <c r="G448">
        <f t="shared" si="19"/>
        <v>2366</v>
      </c>
      <c r="H448" s="7">
        <v>45278</v>
      </c>
      <c r="I448" s="16" t="str">
        <f t="shared" si="20"/>
        <v>Monday</v>
      </c>
      <c r="J448" s="6" t="s">
        <v>18</v>
      </c>
      <c r="K448" s="6" t="s">
        <v>19</v>
      </c>
      <c r="L448" s="6" t="s">
        <v>524</v>
      </c>
      <c r="M448" s="16" t="str">
        <f t="shared" si="21"/>
        <v>high</v>
      </c>
    </row>
    <row r="449" spans="1:13" x14ac:dyDescent="0.25">
      <c r="A449" s="8" t="s">
        <v>933</v>
      </c>
      <c r="B449" s="9" t="s">
        <v>140</v>
      </c>
      <c r="C449" s="9" t="s">
        <v>59</v>
      </c>
      <c r="D449" s="9">
        <v>6</v>
      </c>
      <c r="E449" s="9">
        <v>131.38</v>
      </c>
      <c r="F449" s="9">
        <v>788.28</v>
      </c>
      <c r="G449">
        <f t="shared" si="19"/>
        <v>789</v>
      </c>
      <c r="H449" s="10">
        <v>45119</v>
      </c>
      <c r="I449" s="16" t="str">
        <f t="shared" si="20"/>
        <v>Wednesday</v>
      </c>
      <c r="J449" s="9" t="s">
        <v>13</v>
      </c>
      <c r="K449" s="9" t="s">
        <v>14</v>
      </c>
      <c r="L449" s="9" t="s">
        <v>934</v>
      </c>
      <c r="M449" s="16" t="str">
        <f t="shared" si="21"/>
        <v>low</v>
      </c>
    </row>
    <row r="450" spans="1:13" x14ac:dyDescent="0.25">
      <c r="A450" s="5" t="s">
        <v>935</v>
      </c>
      <c r="B450" s="6" t="s">
        <v>40</v>
      </c>
      <c r="C450" s="6" t="s">
        <v>12</v>
      </c>
      <c r="D450" s="6">
        <v>2</v>
      </c>
      <c r="E450" s="6">
        <v>125.85</v>
      </c>
      <c r="F450" s="6">
        <v>251.7</v>
      </c>
      <c r="G450">
        <f t="shared" ref="G450:G501" si="22">ROUNDUP(F450,0)</f>
        <v>252</v>
      </c>
      <c r="H450" s="7">
        <v>45464</v>
      </c>
      <c r="I450" s="16" t="str">
        <f t="shared" ref="I450:I501" si="23">TEXT(H450,"dddd")</f>
        <v>Friday</v>
      </c>
      <c r="J450" s="6" t="s">
        <v>13</v>
      </c>
      <c r="K450" s="6" t="s">
        <v>14</v>
      </c>
      <c r="L450" s="6" t="s">
        <v>936</v>
      </c>
      <c r="M450" s="16" t="str">
        <f t="shared" ref="M450:M501" si="24">IF(G450&gt;2000,"high","low")</f>
        <v>low</v>
      </c>
    </row>
    <row r="451" spans="1:13" x14ac:dyDescent="0.25">
      <c r="A451" s="8" t="s">
        <v>937</v>
      </c>
      <c r="B451" s="9" t="s">
        <v>164</v>
      </c>
      <c r="C451" s="9" t="s">
        <v>59</v>
      </c>
      <c r="D451" s="9">
        <v>8</v>
      </c>
      <c r="E451" s="9">
        <v>385.42</v>
      </c>
      <c r="F451" s="9">
        <v>3083.36</v>
      </c>
      <c r="G451">
        <f t="shared" si="22"/>
        <v>3084</v>
      </c>
      <c r="H451" s="10">
        <v>45913</v>
      </c>
      <c r="I451" s="16" t="str">
        <f t="shared" si="23"/>
        <v>Saturday</v>
      </c>
      <c r="J451" s="9" t="s">
        <v>48</v>
      </c>
      <c r="K451" s="9" t="s">
        <v>19</v>
      </c>
      <c r="L451" s="9" t="s">
        <v>938</v>
      </c>
      <c r="M451" s="16" t="str">
        <f t="shared" si="24"/>
        <v>high</v>
      </c>
    </row>
    <row r="452" spans="1:13" x14ac:dyDescent="0.25">
      <c r="A452" s="5" t="s">
        <v>939</v>
      </c>
      <c r="B452" s="6" t="s">
        <v>58</v>
      </c>
      <c r="C452" s="6" t="s">
        <v>59</v>
      </c>
      <c r="D452" s="6">
        <v>4</v>
      </c>
      <c r="E452" s="6">
        <v>339.87</v>
      </c>
      <c r="F452" s="6">
        <v>1359.48</v>
      </c>
      <c r="G452">
        <f t="shared" si="22"/>
        <v>1360</v>
      </c>
      <c r="H452" s="7">
        <v>45073</v>
      </c>
      <c r="I452" s="16" t="str">
        <f t="shared" si="23"/>
        <v>Saturday</v>
      </c>
      <c r="J452" s="6" t="s">
        <v>13</v>
      </c>
      <c r="K452" s="6" t="s">
        <v>19</v>
      </c>
      <c r="L452" s="6" t="s">
        <v>236</v>
      </c>
      <c r="M452" s="16" t="str">
        <f t="shared" si="24"/>
        <v>low</v>
      </c>
    </row>
    <row r="453" spans="1:13" x14ac:dyDescent="0.25">
      <c r="A453" s="8" t="s">
        <v>940</v>
      </c>
      <c r="B453" s="9" t="s">
        <v>73</v>
      </c>
      <c r="C453" s="9" t="s">
        <v>59</v>
      </c>
      <c r="D453" s="9">
        <v>5</v>
      </c>
      <c r="E453" s="9">
        <v>290.70999999999998</v>
      </c>
      <c r="F453" s="9">
        <v>1453.55</v>
      </c>
      <c r="G453">
        <f t="shared" si="22"/>
        <v>1454</v>
      </c>
      <c r="H453" s="10">
        <v>45884</v>
      </c>
      <c r="I453" s="16" t="str">
        <f t="shared" si="23"/>
        <v>Friday</v>
      </c>
      <c r="J453" s="9" t="s">
        <v>31</v>
      </c>
      <c r="K453" s="9" t="s">
        <v>27</v>
      </c>
      <c r="L453" s="9" t="s">
        <v>941</v>
      </c>
      <c r="M453" s="16" t="str">
        <f t="shared" si="24"/>
        <v>low</v>
      </c>
    </row>
    <row r="454" spans="1:13" x14ac:dyDescent="0.25">
      <c r="A454" s="5" t="s">
        <v>942</v>
      </c>
      <c r="B454" s="6" t="s">
        <v>54</v>
      </c>
      <c r="C454" s="6" t="s">
        <v>55</v>
      </c>
      <c r="D454" s="6">
        <v>2</v>
      </c>
      <c r="E454" s="6">
        <v>499.71</v>
      </c>
      <c r="F454" s="6">
        <v>999.42</v>
      </c>
      <c r="G454">
        <f t="shared" si="22"/>
        <v>1000</v>
      </c>
      <c r="H454" s="7">
        <v>45892</v>
      </c>
      <c r="I454" s="16" t="str">
        <f t="shared" si="23"/>
        <v>Saturday</v>
      </c>
      <c r="J454" s="6" t="s">
        <v>48</v>
      </c>
      <c r="K454" s="6" t="s">
        <v>27</v>
      </c>
      <c r="L454" s="6" t="s">
        <v>943</v>
      </c>
      <c r="M454" s="16" t="str">
        <f t="shared" si="24"/>
        <v>low</v>
      </c>
    </row>
    <row r="455" spans="1:13" x14ac:dyDescent="0.25">
      <c r="A455" s="8" t="s">
        <v>944</v>
      </c>
      <c r="B455" s="9" t="s">
        <v>164</v>
      </c>
      <c r="C455" s="9" t="s">
        <v>59</v>
      </c>
      <c r="D455" s="9">
        <v>9</v>
      </c>
      <c r="E455" s="9">
        <v>433.89</v>
      </c>
      <c r="F455" s="9">
        <v>3905.01</v>
      </c>
      <c r="G455">
        <f t="shared" si="22"/>
        <v>3906</v>
      </c>
      <c r="H455" s="10">
        <v>45015</v>
      </c>
      <c r="I455" s="16" t="str">
        <f t="shared" si="23"/>
        <v>Thursday</v>
      </c>
      <c r="J455" s="9" t="s">
        <v>48</v>
      </c>
      <c r="K455" s="9" t="s">
        <v>37</v>
      </c>
      <c r="L455" s="9" t="s">
        <v>945</v>
      </c>
      <c r="M455" s="16" t="str">
        <f t="shared" si="24"/>
        <v>high</v>
      </c>
    </row>
    <row r="456" spans="1:13" x14ac:dyDescent="0.25">
      <c r="A456" s="5" t="s">
        <v>946</v>
      </c>
      <c r="B456" s="6" t="s">
        <v>110</v>
      </c>
      <c r="C456" s="6" t="s">
        <v>63</v>
      </c>
      <c r="D456" s="6">
        <v>9</v>
      </c>
      <c r="E456" s="6">
        <v>49.79</v>
      </c>
      <c r="F456" s="6">
        <v>448.11</v>
      </c>
      <c r="G456">
        <f t="shared" si="22"/>
        <v>449</v>
      </c>
      <c r="H456" s="7">
        <v>45085</v>
      </c>
      <c r="I456" s="16" t="str">
        <f t="shared" si="23"/>
        <v>Thursday</v>
      </c>
      <c r="J456" s="6" t="s">
        <v>18</v>
      </c>
      <c r="K456" s="6" t="s">
        <v>14</v>
      </c>
      <c r="L456" s="6" t="s">
        <v>947</v>
      </c>
      <c r="M456" s="16" t="str">
        <f t="shared" si="24"/>
        <v>low</v>
      </c>
    </row>
    <row r="457" spans="1:13" x14ac:dyDescent="0.25">
      <c r="A457" s="8" t="s">
        <v>948</v>
      </c>
      <c r="B457" s="9" t="s">
        <v>73</v>
      </c>
      <c r="C457" s="9" t="s">
        <v>59</v>
      </c>
      <c r="D457" s="9">
        <v>4</v>
      </c>
      <c r="E457" s="9">
        <v>327</v>
      </c>
      <c r="F457" s="9">
        <v>1308</v>
      </c>
      <c r="G457">
        <f t="shared" si="22"/>
        <v>1308</v>
      </c>
      <c r="H457" s="10">
        <v>45028</v>
      </c>
      <c r="I457" s="16" t="str">
        <f t="shared" si="23"/>
        <v>Wednesday</v>
      </c>
      <c r="J457" s="9" t="s">
        <v>48</v>
      </c>
      <c r="K457" s="9" t="s">
        <v>37</v>
      </c>
      <c r="L457" s="9" t="s">
        <v>949</v>
      </c>
      <c r="M457" s="16" t="str">
        <f t="shared" si="24"/>
        <v>low</v>
      </c>
    </row>
    <row r="458" spans="1:13" x14ac:dyDescent="0.25">
      <c r="A458" s="5" t="s">
        <v>950</v>
      </c>
      <c r="B458" s="6" t="s">
        <v>17</v>
      </c>
      <c r="C458" s="6" t="s">
        <v>12</v>
      </c>
      <c r="D458" s="6">
        <v>6</v>
      </c>
      <c r="E458" s="6">
        <v>221.9</v>
      </c>
      <c r="F458" s="6">
        <v>1331.4</v>
      </c>
      <c r="G458">
        <f t="shared" si="22"/>
        <v>1332</v>
      </c>
      <c r="H458" s="7">
        <v>45408</v>
      </c>
      <c r="I458" s="16" t="str">
        <f t="shared" si="23"/>
        <v>Friday</v>
      </c>
      <c r="J458" s="6" t="s">
        <v>48</v>
      </c>
      <c r="K458" s="6" t="s">
        <v>19</v>
      </c>
      <c r="L458" s="6" t="s">
        <v>951</v>
      </c>
      <c r="M458" s="16" t="str">
        <f t="shared" si="24"/>
        <v>low</v>
      </c>
    </row>
    <row r="459" spans="1:13" x14ac:dyDescent="0.25">
      <c r="A459" s="8" t="s">
        <v>952</v>
      </c>
      <c r="B459" s="9" t="s">
        <v>26</v>
      </c>
      <c r="C459" s="9" t="s">
        <v>23</v>
      </c>
      <c r="D459" s="9">
        <v>9</v>
      </c>
      <c r="E459" s="9">
        <v>162.01</v>
      </c>
      <c r="F459" s="9">
        <v>1458.09</v>
      </c>
      <c r="G459">
        <f t="shared" si="22"/>
        <v>1459</v>
      </c>
      <c r="H459" s="10">
        <v>45291</v>
      </c>
      <c r="I459" s="16" t="str">
        <f t="shared" si="23"/>
        <v>Sunday</v>
      </c>
      <c r="J459" s="9" t="s">
        <v>18</v>
      </c>
      <c r="K459" s="9" t="s">
        <v>27</v>
      </c>
      <c r="L459" s="9" t="s">
        <v>953</v>
      </c>
      <c r="M459" s="16" t="str">
        <f t="shared" si="24"/>
        <v>low</v>
      </c>
    </row>
    <row r="460" spans="1:13" x14ac:dyDescent="0.25">
      <c r="A460" s="5" t="s">
        <v>954</v>
      </c>
      <c r="B460" s="6" t="s">
        <v>99</v>
      </c>
      <c r="C460" s="6" t="s">
        <v>55</v>
      </c>
      <c r="D460" s="6">
        <v>1</v>
      </c>
      <c r="E460" s="6">
        <v>64.5</v>
      </c>
      <c r="F460" s="6">
        <v>64.5</v>
      </c>
      <c r="G460">
        <f t="shared" si="22"/>
        <v>65</v>
      </c>
      <c r="H460" s="7">
        <v>45748</v>
      </c>
      <c r="I460" s="16" t="str">
        <f t="shared" si="23"/>
        <v>Tuesday</v>
      </c>
      <c r="J460" s="6" t="s">
        <v>13</v>
      </c>
      <c r="K460" s="6" t="s">
        <v>14</v>
      </c>
      <c r="L460" s="6" t="s">
        <v>955</v>
      </c>
      <c r="M460" s="16" t="str">
        <f t="shared" si="24"/>
        <v>low</v>
      </c>
    </row>
    <row r="461" spans="1:13" x14ac:dyDescent="0.25">
      <c r="A461" s="8" t="s">
        <v>956</v>
      </c>
      <c r="B461" s="9" t="s">
        <v>22</v>
      </c>
      <c r="C461" s="9" t="s">
        <v>23</v>
      </c>
      <c r="D461" s="9">
        <v>9</v>
      </c>
      <c r="E461" s="9">
        <v>167.55</v>
      </c>
      <c r="F461" s="9">
        <v>1507.95</v>
      </c>
      <c r="G461">
        <f t="shared" si="22"/>
        <v>1508</v>
      </c>
      <c r="H461" s="10">
        <v>44991</v>
      </c>
      <c r="I461" s="16" t="str">
        <f t="shared" si="23"/>
        <v>Monday</v>
      </c>
      <c r="J461" s="9" t="s">
        <v>18</v>
      </c>
      <c r="K461" s="9" t="s">
        <v>37</v>
      </c>
      <c r="L461" s="9" t="s">
        <v>957</v>
      </c>
      <c r="M461" s="16" t="str">
        <f t="shared" si="24"/>
        <v>low</v>
      </c>
    </row>
    <row r="462" spans="1:13" x14ac:dyDescent="0.25">
      <c r="A462" s="5" t="s">
        <v>958</v>
      </c>
      <c r="B462" s="6" t="s">
        <v>78</v>
      </c>
      <c r="C462" s="6" t="s">
        <v>44</v>
      </c>
      <c r="D462" s="6">
        <v>5</v>
      </c>
      <c r="E462" s="6">
        <v>193.31</v>
      </c>
      <c r="F462" s="6">
        <v>966.55</v>
      </c>
      <c r="G462">
        <f t="shared" si="22"/>
        <v>967</v>
      </c>
      <c r="H462" s="7">
        <v>45531</v>
      </c>
      <c r="I462" s="16" t="str">
        <f t="shared" si="23"/>
        <v>Tuesday</v>
      </c>
      <c r="J462" s="6" t="s">
        <v>31</v>
      </c>
      <c r="K462" s="6" t="s">
        <v>37</v>
      </c>
      <c r="L462" s="6" t="s">
        <v>959</v>
      </c>
      <c r="M462" s="16" t="str">
        <f t="shared" si="24"/>
        <v>low</v>
      </c>
    </row>
    <row r="463" spans="1:13" x14ac:dyDescent="0.25">
      <c r="A463" s="8" t="s">
        <v>960</v>
      </c>
      <c r="B463" s="9" t="s">
        <v>164</v>
      </c>
      <c r="C463" s="9" t="s">
        <v>59</v>
      </c>
      <c r="D463" s="9">
        <v>1</v>
      </c>
      <c r="E463" s="9">
        <v>122.58</v>
      </c>
      <c r="F463" s="9">
        <v>122.58</v>
      </c>
      <c r="G463">
        <f t="shared" si="22"/>
        <v>123</v>
      </c>
      <c r="H463" s="10">
        <v>45423</v>
      </c>
      <c r="I463" s="16" t="str">
        <f t="shared" si="23"/>
        <v>Saturday</v>
      </c>
      <c r="J463" s="9" t="s">
        <v>18</v>
      </c>
      <c r="K463" s="9" t="s">
        <v>27</v>
      </c>
      <c r="L463" s="9" t="s">
        <v>961</v>
      </c>
      <c r="M463" s="16" t="str">
        <f t="shared" si="24"/>
        <v>low</v>
      </c>
    </row>
    <row r="464" spans="1:13" x14ac:dyDescent="0.25">
      <c r="A464" s="5" t="s">
        <v>962</v>
      </c>
      <c r="B464" s="6" t="s">
        <v>26</v>
      </c>
      <c r="C464" s="6" t="s">
        <v>23</v>
      </c>
      <c r="D464" s="6">
        <v>6</v>
      </c>
      <c r="E464" s="6">
        <v>41.23</v>
      </c>
      <c r="F464" s="6">
        <v>247.38</v>
      </c>
      <c r="G464">
        <f t="shared" si="22"/>
        <v>248</v>
      </c>
      <c r="H464" s="7">
        <v>45793</v>
      </c>
      <c r="I464" s="16" t="str">
        <f t="shared" si="23"/>
        <v>Friday</v>
      </c>
      <c r="J464" s="6" t="s">
        <v>13</v>
      </c>
      <c r="K464" s="6" t="s">
        <v>19</v>
      </c>
      <c r="L464" s="6" t="s">
        <v>963</v>
      </c>
      <c r="M464" s="16" t="str">
        <f t="shared" si="24"/>
        <v>low</v>
      </c>
    </row>
    <row r="465" spans="1:13" x14ac:dyDescent="0.25">
      <c r="A465" s="8" t="s">
        <v>964</v>
      </c>
      <c r="B465" s="9" t="s">
        <v>54</v>
      </c>
      <c r="C465" s="9" t="s">
        <v>55</v>
      </c>
      <c r="D465" s="9">
        <v>2</v>
      </c>
      <c r="E465" s="9">
        <v>234.43</v>
      </c>
      <c r="F465" s="9">
        <v>468.86</v>
      </c>
      <c r="G465">
        <f t="shared" si="22"/>
        <v>469</v>
      </c>
      <c r="H465" s="10">
        <v>44929</v>
      </c>
      <c r="I465" s="16" t="str">
        <f t="shared" si="23"/>
        <v>Tuesday</v>
      </c>
      <c r="J465" s="9" t="s">
        <v>18</v>
      </c>
      <c r="K465" s="9" t="s">
        <v>37</v>
      </c>
      <c r="L465" s="9" t="s">
        <v>965</v>
      </c>
      <c r="M465" s="16" t="str">
        <f t="shared" si="24"/>
        <v>low</v>
      </c>
    </row>
    <row r="466" spans="1:13" x14ac:dyDescent="0.25">
      <c r="A466" s="5" t="s">
        <v>966</v>
      </c>
      <c r="B466" s="6" t="s">
        <v>68</v>
      </c>
      <c r="C466" s="6" t="s">
        <v>63</v>
      </c>
      <c r="D466" s="6">
        <v>8</v>
      </c>
      <c r="E466" s="6">
        <v>261.95</v>
      </c>
      <c r="F466" s="6">
        <v>2095.6</v>
      </c>
      <c r="G466">
        <f t="shared" si="22"/>
        <v>2096</v>
      </c>
      <c r="H466" s="7">
        <v>45380</v>
      </c>
      <c r="I466" s="16" t="str">
        <f t="shared" si="23"/>
        <v>Friday</v>
      </c>
      <c r="J466" s="6" t="s">
        <v>18</v>
      </c>
      <c r="K466" s="6" t="s">
        <v>14</v>
      </c>
      <c r="L466" s="6" t="s">
        <v>967</v>
      </c>
      <c r="M466" s="16" t="str">
        <f t="shared" si="24"/>
        <v>high</v>
      </c>
    </row>
    <row r="467" spans="1:13" x14ac:dyDescent="0.25">
      <c r="A467" s="8" t="s">
        <v>968</v>
      </c>
      <c r="B467" s="9" t="s">
        <v>84</v>
      </c>
      <c r="C467" s="9" t="s">
        <v>23</v>
      </c>
      <c r="D467" s="9">
        <v>9</v>
      </c>
      <c r="E467" s="9">
        <v>193.2</v>
      </c>
      <c r="F467" s="9">
        <v>1738.8</v>
      </c>
      <c r="G467">
        <f t="shared" si="22"/>
        <v>1739</v>
      </c>
      <c r="H467" s="10">
        <v>45920</v>
      </c>
      <c r="I467" s="16" t="str">
        <f t="shared" si="23"/>
        <v>Saturday</v>
      </c>
      <c r="J467" s="9" t="s">
        <v>18</v>
      </c>
      <c r="K467" s="9" t="s">
        <v>37</v>
      </c>
      <c r="L467" s="9" t="s">
        <v>969</v>
      </c>
      <c r="M467" s="16" t="str">
        <f t="shared" si="24"/>
        <v>low</v>
      </c>
    </row>
    <row r="468" spans="1:13" x14ac:dyDescent="0.25">
      <c r="A468" s="5" t="s">
        <v>970</v>
      </c>
      <c r="B468" s="6" t="s">
        <v>250</v>
      </c>
      <c r="C468" s="6" t="s">
        <v>63</v>
      </c>
      <c r="D468" s="6">
        <v>5</v>
      </c>
      <c r="E468" s="6">
        <v>126.8</v>
      </c>
      <c r="F468" s="6">
        <v>634</v>
      </c>
      <c r="G468">
        <f t="shared" si="22"/>
        <v>634</v>
      </c>
      <c r="H468" s="7">
        <v>45666</v>
      </c>
      <c r="I468" s="16" t="str">
        <f t="shared" si="23"/>
        <v>Thursday</v>
      </c>
      <c r="J468" s="6" t="s">
        <v>31</v>
      </c>
      <c r="K468" s="6" t="s">
        <v>14</v>
      </c>
      <c r="L468" s="6" t="s">
        <v>971</v>
      </c>
      <c r="M468" s="16" t="str">
        <f t="shared" si="24"/>
        <v>low</v>
      </c>
    </row>
    <row r="469" spans="1:13" x14ac:dyDescent="0.25">
      <c r="A469" s="8" t="s">
        <v>972</v>
      </c>
      <c r="B469" s="9" t="s">
        <v>115</v>
      </c>
      <c r="C469" s="9" t="s">
        <v>55</v>
      </c>
      <c r="D469" s="9">
        <v>7</v>
      </c>
      <c r="E469" s="9">
        <v>407.43</v>
      </c>
      <c r="F469" s="9">
        <v>2852.01</v>
      </c>
      <c r="G469">
        <f t="shared" si="22"/>
        <v>2853</v>
      </c>
      <c r="H469" s="10">
        <v>45424</v>
      </c>
      <c r="I469" s="16" t="str">
        <f t="shared" si="23"/>
        <v>Sunday</v>
      </c>
      <c r="J469" s="9" t="s">
        <v>13</v>
      </c>
      <c r="K469" s="9" t="s">
        <v>37</v>
      </c>
      <c r="L469" s="9" t="s">
        <v>973</v>
      </c>
      <c r="M469" s="16" t="str">
        <f t="shared" si="24"/>
        <v>high</v>
      </c>
    </row>
    <row r="470" spans="1:13" x14ac:dyDescent="0.25">
      <c r="A470" s="5" t="s">
        <v>974</v>
      </c>
      <c r="B470" s="6" t="s">
        <v>99</v>
      </c>
      <c r="C470" s="6" t="s">
        <v>55</v>
      </c>
      <c r="D470" s="6">
        <v>5</v>
      </c>
      <c r="E470" s="6">
        <v>101.91</v>
      </c>
      <c r="F470" s="6">
        <v>509.55</v>
      </c>
      <c r="G470">
        <f t="shared" si="22"/>
        <v>510</v>
      </c>
      <c r="H470" s="7">
        <v>45262</v>
      </c>
      <c r="I470" s="16" t="str">
        <f t="shared" si="23"/>
        <v>Saturday</v>
      </c>
      <c r="J470" s="6" t="s">
        <v>31</v>
      </c>
      <c r="K470" s="6" t="s">
        <v>27</v>
      </c>
      <c r="L470" s="6" t="s">
        <v>975</v>
      </c>
      <c r="M470" s="16" t="str">
        <f t="shared" si="24"/>
        <v>low</v>
      </c>
    </row>
    <row r="471" spans="1:13" x14ac:dyDescent="0.25">
      <c r="A471" s="8" t="s">
        <v>976</v>
      </c>
      <c r="B471" s="9" t="s">
        <v>17</v>
      </c>
      <c r="C471" s="9" t="s">
        <v>12</v>
      </c>
      <c r="D471" s="9">
        <v>9</v>
      </c>
      <c r="E471" s="9">
        <v>329.07</v>
      </c>
      <c r="F471" s="9">
        <v>2961.63</v>
      </c>
      <c r="G471">
        <f t="shared" si="22"/>
        <v>2962</v>
      </c>
      <c r="H471" s="10">
        <v>44977</v>
      </c>
      <c r="I471" s="16" t="str">
        <f t="shared" si="23"/>
        <v>Monday</v>
      </c>
      <c r="J471" s="9" t="s">
        <v>18</v>
      </c>
      <c r="K471" s="9" t="s">
        <v>27</v>
      </c>
      <c r="L471" s="9" t="s">
        <v>977</v>
      </c>
      <c r="M471" s="16" t="str">
        <f t="shared" si="24"/>
        <v>high</v>
      </c>
    </row>
    <row r="472" spans="1:13" x14ac:dyDescent="0.25">
      <c r="A472" s="5" t="s">
        <v>978</v>
      </c>
      <c r="B472" s="6" t="s">
        <v>51</v>
      </c>
      <c r="C472" s="6" t="s">
        <v>44</v>
      </c>
      <c r="D472" s="6">
        <v>6</v>
      </c>
      <c r="E472" s="6">
        <v>101.31</v>
      </c>
      <c r="F472" s="6">
        <v>607.86</v>
      </c>
      <c r="G472">
        <f t="shared" si="22"/>
        <v>608</v>
      </c>
      <c r="H472" s="7">
        <v>45260</v>
      </c>
      <c r="I472" s="16" t="str">
        <f t="shared" si="23"/>
        <v>Thursday</v>
      </c>
      <c r="J472" s="6" t="s">
        <v>13</v>
      </c>
      <c r="K472" s="6" t="s">
        <v>37</v>
      </c>
      <c r="L472" s="6" t="s">
        <v>979</v>
      </c>
      <c r="M472" s="16" t="str">
        <f t="shared" si="24"/>
        <v>low</v>
      </c>
    </row>
    <row r="473" spans="1:13" x14ac:dyDescent="0.25">
      <c r="A473" s="8" t="s">
        <v>980</v>
      </c>
      <c r="B473" s="9" t="s">
        <v>34</v>
      </c>
      <c r="C473" s="9" t="s">
        <v>23</v>
      </c>
      <c r="D473" s="9">
        <v>4</v>
      </c>
      <c r="E473" s="9">
        <v>132.1</v>
      </c>
      <c r="F473" s="9">
        <v>528.4</v>
      </c>
      <c r="G473">
        <f t="shared" si="22"/>
        <v>529</v>
      </c>
      <c r="H473" s="10">
        <v>45490</v>
      </c>
      <c r="I473" s="16" t="str">
        <f t="shared" si="23"/>
        <v>Wednesday</v>
      </c>
      <c r="J473" s="9" t="s">
        <v>13</v>
      </c>
      <c r="K473" s="9" t="s">
        <v>37</v>
      </c>
      <c r="L473" s="9" t="s">
        <v>981</v>
      </c>
      <c r="M473" s="16" t="str">
        <f t="shared" si="24"/>
        <v>low</v>
      </c>
    </row>
    <row r="474" spans="1:13" x14ac:dyDescent="0.25">
      <c r="A474" s="5" t="s">
        <v>982</v>
      </c>
      <c r="B474" s="6" t="s">
        <v>34</v>
      </c>
      <c r="C474" s="6" t="s">
        <v>23</v>
      </c>
      <c r="D474" s="6">
        <v>3</v>
      </c>
      <c r="E474" s="6">
        <v>292.56</v>
      </c>
      <c r="F474" s="6">
        <v>877.68</v>
      </c>
      <c r="G474">
        <f t="shared" si="22"/>
        <v>878</v>
      </c>
      <c r="H474" s="7">
        <v>45032</v>
      </c>
      <c r="I474" s="16" t="str">
        <f t="shared" si="23"/>
        <v>Sunday</v>
      </c>
      <c r="J474" s="6" t="s">
        <v>31</v>
      </c>
      <c r="K474" s="6" t="s">
        <v>19</v>
      </c>
      <c r="L474" s="6" t="s">
        <v>983</v>
      </c>
      <c r="M474" s="16" t="str">
        <f t="shared" si="24"/>
        <v>low</v>
      </c>
    </row>
    <row r="475" spans="1:13" x14ac:dyDescent="0.25">
      <c r="A475" s="8" t="s">
        <v>984</v>
      </c>
      <c r="B475" s="9" t="s">
        <v>62</v>
      </c>
      <c r="C475" s="9" t="s">
        <v>63</v>
      </c>
      <c r="D475" s="9">
        <v>2</v>
      </c>
      <c r="E475" s="9">
        <v>202.95</v>
      </c>
      <c r="F475" s="9">
        <v>405.9</v>
      </c>
      <c r="G475">
        <f t="shared" si="22"/>
        <v>406</v>
      </c>
      <c r="H475" s="10">
        <v>45515</v>
      </c>
      <c r="I475" s="16" t="str">
        <f t="shared" si="23"/>
        <v>Sunday</v>
      </c>
      <c r="J475" s="9" t="s">
        <v>13</v>
      </c>
      <c r="K475" s="9" t="s">
        <v>14</v>
      </c>
      <c r="L475" s="9" t="s">
        <v>985</v>
      </c>
      <c r="M475" s="16" t="str">
        <f t="shared" si="24"/>
        <v>low</v>
      </c>
    </row>
    <row r="476" spans="1:13" x14ac:dyDescent="0.25">
      <c r="A476" s="5" t="s">
        <v>986</v>
      </c>
      <c r="B476" s="6" t="s">
        <v>54</v>
      </c>
      <c r="C476" s="6" t="s">
        <v>55</v>
      </c>
      <c r="D476" s="6">
        <v>9</v>
      </c>
      <c r="E476" s="6">
        <v>263.63</v>
      </c>
      <c r="F476" s="6">
        <v>2372.67</v>
      </c>
      <c r="G476">
        <f t="shared" si="22"/>
        <v>2373</v>
      </c>
      <c r="H476" s="7">
        <v>45189</v>
      </c>
      <c r="I476" s="16" t="str">
        <f t="shared" si="23"/>
        <v>Wednesday</v>
      </c>
      <c r="J476" s="6" t="s">
        <v>18</v>
      </c>
      <c r="K476" s="6" t="s">
        <v>19</v>
      </c>
      <c r="L476" s="6" t="s">
        <v>987</v>
      </c>
      <c r="M476" s="16" t="str">
        <f t="shared" si="24"/>
        <v>high</v>
      </c>
    </row>
    <row r="477" spans="1:13" x14ac:dyDescent="0.25">
      <c r="A477" s="8" t="s">
        <v>988</v>
      </c>
      <c r="B477" s="9" t="s">
        <v>78</v>
      </c>
      <c r="C477" s="9" t="s">
        <v>44</v>
      </c>
      <c r="D477" s="9">
        <v>7</v>
      </c>
      <c r="E477" s="9">
        <v>151.16</v>
      </c>
      <c r="F477" s="9">
        <v>1058.1199999999999</v>
      </c>
      <c r="G477">
        <f t="shared" si="22"/>
        <v>1059</v>
      </c>
      <c r="H477" s="10">
        <v>45167</v>
      </c>
      <c r="I477" s="16" t="str">
        <f t="shared" si="23"/>
        <v>Tuesday</v>
      </c>
      <c r="J477" s="9" t="s">
        <v>18</v>
      </c>
      <c r="K477" s="9" t="s">
        <v>19</v>
      </c>
      <c r="L477" s="9" t="s">
        <v>989</v>
      </c>
      <c r="M477" s="16" t="str">
        <f t="shared" si="24"/>
        <v>low</v>
      </c>
    </row>
    <row r="478" spans="1:13" x14ac:dyDescent="0.25">
      <c r="A478" s="5" t="s">
        <v>990</v>
      </c>
      <c r="B478" s="6" t="s">
        <v>40</v>
      </c>
      <c r="C478" s="6" t="s">
        <v>12</v>
      </c>
      <c r="D478" s="6">
        <v>8</v>
      </c>
      <c r="E478" s="6">
        <v>481.65</v>
      </c>
      <c r="F478" s="6">
        <v>3853.2</v>
      </c>
      <c r="G478">
        <f t="shared" si="22"/>
        <v>3854</v>
      </c>
      <c r="H478" s="7">
        <v>45378</v>
      </c>
      <c r="I478" s="16" t="str">
        <f t="shared" si="23"/>
        <v>Wednesday</v>
      </c>
      <c r="J478" s="6" t="s">
        <v>18</v>
      </c>
      <c r="K478" s="6" t="s">
        <v>19</v>
      </c>
      <c r="L478" s="6" t="s">
        <v>991</v>
      </c>
      <c r="M478" s="16" t="str">
        <f t="shared" si="24"/>
        <v>high</v>
      </c>
    </row>
    <row r="479" spans="1:13" x14ac:dyDescent="0.25">
      <c r="A479" s="8" t="s">
        <v>992</v>
      </c>
      <c r="B479" s="9" t="s">
        <v>110</v>
      </c>
      <c r="C479" s="9" t="s">
        <v>63</v>
      </c>
      <c r="D479" s="9">
        <v>6</v>
      </c>
      <c r="E479" s="9">
        <v>277.36</v>
      </c>
      <c r="F479" s="9">
        <v>1664.16</v>
      </c>
      <c r="G479">
        <f t="shared" si="22"/>
        <v>1665</v>
      </c>
      <c r="H479" s="10">
        <v>45302</v>
      </c>
      <c r="I479" s="16" t="str">
        <f t="shared" si="23"/>
        <v>Thursday</v>
      </c>
      <c r="J479" s="9" t="s">
        <v>31</v>
      </c>
      <c r="K479" s="9" t="s">
        <v>27</v>
      </c>
      <c r="L479" s="9" t="s">
        <v>993</v>
      </c>
      <c r="M479" s="16" t="str">
        <f t="shared" si="24"/>
        <v>low</v>
      </c>
    </row>
    <row r="480" spans="1:13" x14ac:dyDescent="0.25">
      <c r="A480" s="5" t="s">
        <v>994</v>
      </c>
      <c r="B480" s="6" t="s">
        <v>250</v>
      </c>
      <c r="C480" s="6" t="s">
        <v>63</v>
      </c>
      <c r="D480" s="6">
        <v>7</v>
      </c>
      <c r="E480" s="6">
        <v>320.8</v>
      </c>
      <c r="F480" s="6">
        <v>2245.6</v>
      </c>
      <c r="G480">
        <f t="shared" si="22"/>
        <v>2246</v>
      </c>
      <c r="H480" s="7">
        <v>45203</v>
      </c>
      <c r="I480" s="16" t="str">
        <f t="shared" si="23"/>
        <v>Wednesday</v>
      </c>
      <c r="J480" s="6" t="s">
        <v>18</v>
      </c>
      <c r="K480" s="6" t="s">
        <v>14</v>
      </c>
      <c r="L480" s="6" t="s">
        <v>995</v>
      </c>
      <c r="M480" s="16" t="str">
        <f t="shared" si="24"/>
        <v>high</v>
      </c>
    </row>
    <row r="481" spans="1:13" x14ac:dyDescent="0.25">
      <c r="A481" s="8" t="s">
        <v>996</v>
      </c>
      <c r="B481" s="9" t="s">
        <v>47</v>
      </c>
      <c r="C481" s="9" t="s">
        <v>44</v>
      </c>
      <c r="D481" s="9">
        <v>9</v>
      </c>
      <c r="E481" s="9">
        <v>397.9</v>
      </c>
      <c r="F481" s="9">
        <v>3581.1</v>
      </c>
      <c r="G481">
        <f t="shared" si="22"/>
        <v>3582</v>
      </c>
      <c r="H481" s="10">
        <v>45709</v>
      </c>
      <c r="I481" s="16" t="str">
        <f t="shared" si="23"/>
        <v>Friday</v>
      </c>
      <c r="J481" s="9" t="s">
        <v>31</v>
      </c>
      <c r="K481" s="9" t="s">
        <v>14</v>
      </c>
      <c r="L481" s="9" t="s">
        <v>369</v>
      </c>
      <c r="M481" s="16" t="str">
        <f t="shared" si="24"/>
        <v>high</v>
      </c>
    </row>
    <row r="482" spans="1:13" x14ac:dyDescent="0.25">
      <c r="A482" s="5" t="s">
        <v>997</v>
      </c>
      <c r="B482" s="6" t="s">
        <v>58</v>
      </c>
      <c r="C482" s="6" t="s">
        <v>59</v>
      </c>
      <c r="D482" s="6">
        <v>8</v>
      </c>
      <c r="E482" s="6">
        <v>208.46</v>
      </c>
      <c r="F482" s="6">
        <v>1667.68</v>
      </c>
      <c r="G482">
        <f t="shared" si="22"/>
        <v>1668</v>
      </c>
      <c r="H482" s="7">
        <v>45563</v>
      </c>
      <c r="I482" s="16" t="str">
        <f t="shared" si="23"/>
        <v>Saturday</v>
      </c>
      <c r="J482" s="6" t="s">
        <v>13</v>
      </c>
      <c r="K482" s="6" t="s">
        <v>27</v>
      </c>
      <c r="L482" s="6" t="s">
        <v>998</v>
      </c>
      <c r="M482" s="16" t="str">
        <f t="shared" si="24"/>
        <v>low</v>
      </c>
    </row>
    <row r="483" spans="1:13" x14ac:dyDescent="0.25">
      <c r="A483" s="8" t="s">
        <v>999</v>
      </c>
      <c r="B483" s="9" t="s">
        <v>110</v>
      </c>
      <c r="C483" s="9" t="s">
        <v>63</v>
      </c>
      <c r="D483" s="9">
        <v>1</v>
      </c>
      <c r="E483" s="9">
        <v>122.25</v>
      </c>
      <c r="F483" s="9">
        <v>122.25</v>
      </c>
      <c r="G483">
        <f t="shared" si="22"/>
        <v>123</v>
      </c>
      <c r="H483" s="10">
        <v>45219</v>
      </c>
      <c r="I483" s="16" t="str">
        <f t="shared" si="23"/>
        <v>Friday</v>
      </c>
      <c r="J483" s="9" t="s">
        <v>18</v>
      </c>
      <c r="K483" s="9" t="s">
        <v>14</v>
      </c>
      <c r="L483" s="9" t="s">
        <v>1000</v>
      </c>
      <c r="M483" s="16" t="str">
        <f t="shared" si="24"/>
        <v>low</v>
      </c>
    </row>
    <row r="484" spans="1:13" x14ac:dyDescent="0.25">
      <c r="A484" s="5" t="s">
        <v>1001</v>
      </c>
      <c r="B484" s="6" t="s">
        <v>34</v>
      </c>
      <c r="C484" s="6" t="s">
        <v>23</v>
      </c>
      <c r="D484" s="6">
        <v>2</v>
      </c>
      <c r="E484" s="6">
        <v>367.32</v>
      </c>
      <c r="F484" s="6">
        <v>734.64</v>
      </c>
      <c r="G484">
        <f t="shared" si="22"/>
        <v>735</v>
      </c>
      <c r="H484" s="7">
        <v>45538</v>
      </c>
      <c r="I484" s="16" t="str">
        <f t="shared" si="23"/>
        <v>Tuesday</v>
      </c>
      <c r="J484" s="6" t="s">
        <v>31</v>
      </c>
      <c r="K484" s="6" t="s">
        <v>14</v>
      </c>
      <c r="L484" s="6" t="s">
        <v>1002</v>
      </c>
      <c r="M484" s="16" t="str">
        <f t="shared" si="24"/>
        <v>low</v>
      </c>
    </row>
    <row r="485" spans="1:13" x14ac:dyDescent="0.25">
      <c r="A485" s="8" t="s">
        <v>1003</v>
      </c>
      <c r="B485" s="9" t="s">
        <v>87</v>
      </c>
      <c r="C485" s="9" t="s">
        <v>59</v>
      </c>
      <c r="D485" s="9">
        <v>7</v>
      </c>
      <c r="E485" s="9">
        <v>335.44</v>
      </c>
      <c r="F485" s="9">
        <v>2348.08</v>
      </c>
      <c r="G485">
        <f t="shared" si="22"/>
        <v>2349</v>
      </c>
      <c r="H485" s="10">
        <v>45072</v>
      </c>
      <c r="I485" s="16" t="str">
        <f t="shared" si="23"/>
        <v>Friday</v>
      </c>
      <c r="J485" s="9" t="s">
        <v>48</v>
      </c>
      <c r="K485" s="9" t="s">
        <v>14</v>
      </c>
      <c r="L485" s="9" t="s">
        <v>1004</v>
      </c>
      <c r="M485" s="16" t="str">
        <f t="shared" si="24"/>
        <v>high</v>
      </c>
    </row>
    <row r="486" spans="1:13" x14ac:dyDescent="0.25">
      <c r="A486" s="5" t="s">
        <v>1005</v>
      </c>
      <c r="B486" s="6" t="s">
        <v>78</v>
      </c>
      <c r="C486" s="6" t="s">
        <v>44</v>
      </c>
      <c r="D486" s="6">
        <v>4</v>
      </c>
      <c r="E486" s="6">
        <v>79.099999999999994</v>
      </c>
      <c r="F486" s="6">
        <v>316.39999999999998</v>
      </c>
      <c r="G486">
        <f t="shared" si="22"/>
        <v>317</v>
      </c>
      <c r="H486" s="7">
        <v>45365</v>
      </c>
      <c r="I486" s="16" t="str">
        <f t="shared" si="23"/>
        <v>Thursday</v>
      </c>
      <c r="J486" s="6" t="s">
        <v>13</v>
      </c>
      <c r="K486" s="6" t="s">
        <v>37</v>
      </c>
      <c r="L486" s="6" t="s">
        <v>1006</v>
      </c>
      <c r="M486" s="16" t="str">
        <f t="shared" si="24"/>
        <v>low</v>
      </c>
    </row>
    <row r="487" spans="1:13" x14ac:dyDescent="0.25">
      <c r="A487" s="8" t="s">
        <v>1007</v>
      </c>
      <c r="B487" s="9" t="s">
        <v>99</v>
      </c>
      <c r="C487" s="9" t="s">
        <v>55</v>
      </c>
      <c r="D487" s="9">
        <v>2</v>
      </c>
      <c r="E487" s="9">
        <v>239.08</v>
      </c>
      <c r="F487" s="9">
        <v>478.16</v>
      </c>
      <c r="G487">
        <f t="shared" si="22"/>
        <v>479</v>
      </c>
      <c r="H487" s="10">
        <v>45587</v>
      </c>
      <c r="I487" s="16" t="str">
        <f t="shared" si="23"/>
        <v>Tuesday</v>
      </c>
      <c r="J487" s="9" t="s">
        <v>31</v>
      </c>
      <c r="K487" s="9" t="s">
        <v>19</v>
      </c>
      <c r="L487" s="9" t="s">
        <v>1008</v>
      </c>
      <c r="M487" s="16" t="str">
        <f t="shared" si="24"/>
        <v>low</v>
      </c>
    </row>
    <row r="488" spans="1:13" x14ac:dyDescent="0.25">
      <c r="A488" s="5" t="s">
        <v>1009</v>
      </c>
      <c r="B488" s="6" t="s">
        <v>17</v>
      </c>
      <c r="C488" s="6" t="s">
        <v>12</v>
      </c>
      <c r="D488" s="6">
        <v>5</v>
      </c>
      <c r="E488" s="6">
        <v>322.77999999999997</v>
      </c>
      <c r="F488" s="6">
        <v>1613.9</v>
      </c>
      <c r="G488">
        <f t="shared" si="22"/>
        <v>1614</v>
      </c>
      <c r="H488" s="7">
        <v>45914</v>
      </c>
      <c r="I488" s="16" t="str">
        <f t="shared" si="23"/>
        <v>Sunday</v>
      </c>
      <c r="J488" s="6" t="s">
        <v>31</v>
      </c>
      <c r="K488" s="6" t="s">
        <v>27</v>
      </c>
      <c r="L488" s="6" t="s">
        <v>1010</v>
      </c>
      <c r="M488" s="16" t="str">
        <f t="shared" si="24"/>
        <v>low</v>
      </c>
    </row>
    <row r="489" spans="1:13" x14ac:dyDescent="0.25">
      <c r="A489" s="8" t="s">
        <v>1011</v>
      </c>
      <c r="B489" s="9" t="s">
        <v>250</v>
      </c>
      <c r="C489" s="9" t="s">
        <v>63</v>
      </c>
      <c r="D489" s="9">
        <v>9</v>
      </c>
      <c r="E489" s="9">
        <v>198.5</v>
      </c>
      <c r="F489" s="9">
        <v>1786.5</v>
      </c>
      <c r="G489">
        <f t="shared" si="22"/>
        <v>1787</v>
      </c>
      <c r="H489" s="10">
        <v>45435</v>
      </c>
      <c r="I489" s="16" t="str">
        <f t="shared" si="23"/>
        <v>Thursday</v>
      </c>
      <c r="J489" s="9" t="s">
        <v>48</v>
      </c>
      <c r="K489" s="9" t="s">
        <v>37</v>
      </c>
      <c r="L489" s="9" t="s">
        <v>1012</v>
      </c>
      <c r="M489" s="16" t="str">
        <f t="shared" si="24"/>
        <v>low</v>
      </c>
    </row>
    <row r="490" spans="1:13" x14ac:dyDescent="0.25">
      <c r="A490" s="5" t="s">
        <v>1013</v>
      </c>
      <c r="B490" s="6" t="s">
        <v>99</v>
      </c>
      <c r="C490" s="6" t="s">
        <v>55</v>
      </c>
      <c r="D490" s="6">
        <v>9</v>
      </c>
      <c r="E490" s="6">
        <v>493.95</v>
      </c>
      <c r="F490" s="6">
        <v>4445.55</v>
      </c>
      <c r="G490">
        <f t="shared" si="22"/>
        <v>4446</v>
      </c>
      <c r="H490" s="7">
        <v>45729</v>
      </c>
      <c r="I490" s="16" t="str">
        <f t="shared" si="23"/>
        <v>Thursday</v>
      </c>
      <c r="J490" s="6" t="s">
        <v>48</v>
      </c>
      <c r="K490" s="6" t="s">
        <v>19</v>
      </c>
      <c r="L490" s="6" t="s">
        <v>1014</v>
      </c>
      <c r="M490" s="16" t="str">
        <f t="shared" si="24"/>
        <v>high</v>
      </c>
    </row>
    <row r="491" spans="1:13" x14ac:dyDescent="0.25">
      <c r="A491" s="8" t="s">
        <v>1015</v>
      </c>
      <c r="B491" s="9" t="s">
        <v>17</v>
      </c>
      <c r="C491" s="9" t="s">
        <v>12</v>
      </c>
      <c r="D491" s="9">
        <v>5</v>
      </c>
      <c r="E491" s="9">
        <v>339.54</v>
      </c>
      <c r="F491" s="9">
        <v>1697.7</v>
      </c>
      <c r="G491">
        <f t="shared" si="22"/>
        <v>1698</v>
      </c>
      <c r="H491" s="10">
        <v>45480</v>
      </c>
      <c r="I491" s="16" t="str">
        <f t="shared" si="23"/>
        <v>Sunday</v>
      </c>
      <c r="J491" s="9" t="s">
        <v>13</v>
      </c>
      <c r="K491" s="9" t="s">
        <v>14</v>
      </c>
      <c r="L491" s="9" t="s">
        <v>1016</v>
      </c>
      <c r="M491" s="16" t="str">
        <f t="shared" si="24"/>
        <v>low</v>
      </c>
    </row>
    <row r="492" spans="1:13" x14ac:dyDescent="0.25">
      <c r="A492" s="5" t="s">
        <v>1017</v>
      </c>
      <c r="B492" s="6" t="s">
        <v>164</v>
      </c>
      <c r="C492" s="6" t="s">
        <v>59</v>
      </c>
      <c r="D492" s="6">
        <v>7</v>
      </c>
      <c r="E492" s="6">
        <v>363.64</v>
      </c>
      <c r="F492" s="6">
        <v>2545.48</v>
      </c>
      <c r="G492">
        <f t="shared" si="22"/>
        <v>2546</v>
      </c>
      <c r="H492" s="7">
        <v>45385</v>
      </c>
      <c r="I492" s="16" t="str">
        <f t="shared" si="23"/>
        <v>Wednesday</v>
      </c>
      <c r="J492" s="6" t="s">
        <v>13</v>
      </c>
      <c r="K492" s="6" t="s">
        <v>27</v>
      </c>
      <c r="L492" s="6" t="s">
        <v>1018</v>
      </c>
      <c r="M492" s="16" t="str">
        <f t="shared" si="24"/>
        <v>high</v>
      </c>
    </row>
    <row r="493" spans="1:13" x14ac:dyDescent="0.25">
      <c r="A493" s="8" t="s">
        <v>1019</v>
      </c>
      <c r="B493" s="9" t="s">
        <v>250</v>
      </c>
      <c r="C493" s="9" t="s">
        <v>63</v>
      </c>
      <c r="D493" s="9">
        <v>3</v>
      </c>
      <c r="E493" s="9">
        <v>303.58999999999997</v>
      </c>
      <c r="F493" s="9">
        <v>910.77</v>
      </c>
      <c r="G493">
        <f t="shared" si="22"/>
        <v>911</v>
      </c>
      <c r="H493" s="10">
        <v>45028</v>
      </c>
      <c r="I493" s="16" t="str">
        <f t="shared" si="23"/>
        <v>Wednesday</v>
      </c>
      <c r="J493" s="9" t="s">
        <v>48</v>
      </c>
      <c r="K493" s="9" t="s">
        <v>19</v>
      </c>
      <c r="L493" s="9" t="s">
        <v>1020</v>
      </c>
      <c r="M493" s="16" t="str">
        <f t="shared" si="24"/>
        <v>low</v>
      </c>
    </row>
    <row r="494" spans="1:13" x14ac:dyDescent="0.25">
      <c r="A494" s="5" t="s">
        <v>1021</v>
      </c>
      <c r="B494" s="6" t="s">
        <v>40</v>
      </c>
      <c r="C494" s="6" t="s">
        <v>12</v>
      </c>
      <c r="D494" s="6">
        <v>4</v>
      </c>
      <c r="E494" s="6">
        <v>47.4</v>
      </c>
      <c r="F494" s="6">
        <v>189.6</v>
      </c>
      <c r="G494">
        <f t="shared" si="22"/>
        <v>190</v>
      </c>
      <c r="H494" s="7">
        <v>45279</v>
      </c>
      <c r="I494" s="16" t="str">
        <f t="shared" si="23"/>
        <v>Tuesday</v>
      </c>
      <c r="J494" s="6" t="s">
        <v>13</v>
      </c>
      <c r="K494" s="6" t="s">
        <v>19</v>
      </c>
      <c r="L494" s="6" t="s">
        <v>1022</v>
      </c>
      <c r="M494" s="16" t="str">
        <f t="shared" si="24"/>
        <v>low</v>
      </c>
    </row>
    <row r="495" spans="1:13" x14ac:dyDescent="0.25">
      <c r="A495" s="8" t="s">
        <v>1023</v>
      </c>
      <c r="B495" s="9" t="s">
        <v>30</v>
      </c>
      <c r="C495" s="9" t="s">
        <v>12</v>
      </c>
      <c r="D495" s="9">
        <v>3</v>
      </c>
      <c r="E495" s="9">
        <v>203.59</v>
      </c>
      <c r="F495" s="9">
        <v>610.77</v>
      </c>
      <c r="G495">
        <f t="shared" si="22"/>
        <v>611</v>
      </c>
      <c r="H495" s="10">
        <v>45279</v>
      </c>
      <c r="I495" s="16" t="str">
        <f t="shared" si="23"/>
        <v>Tuesday</v>
      </c>
      <c r="J495" s="9" t="s">
        <v>13</v>
      </c>
      <c r="K495" s="9" t="s">
        <v>37</v>
      </c>
      <c r="L495" s="9" t="s">
        <v>1024</v>
      </c>
      <c r="M495" s="16" t="str">
        <f t="shared" si="24"/>
        <v>low</v>
      </c>
    </row>
    <row r="496" spans="1:13" x14ac:dyDescent="0.25">
      <c r="A496" s="5" t="s">
        <v>1025</v>
      </c>
      <c r="B496" s="6" t="s">
        <v>22</v>
      </c>
      <c r="C496" s="6" t="s">
        <v>23</v>
      </c>
      <c r="D496" s="6">
        <v>9</v>
      </c>
      <c r="E496" s="6">
        <v>310.49</v>
      </c>
      <c r="F496" s="6">
        <v>2794.41</v>
      </c>
      <c r="G496">
        <f t="shared" si="22"/>
        <v>2795</v>
      </c>
      <c r="H496" s="7">
        <v>45707</v>
      </c>
      <c r="I496" s="16" t="str">
        <f t="shared" si="23"/>
        <v>Wednesday</v>
      </c>
      <c r="J496" s="6" t="s">
        <v>13</v>
      </c>
      <c r="K496" s="6" t="s">
        <v>19</v>
      </c>
      <c r="L496" s="6" t="s">
        <v>1026</v>
      </c>
      <c r="M496" s="16" t="str">
        <f t="shared" si="24"/>
        <v>high</v>
      </c>
    </row>
    <row r="497" spans="1:13" x14ac:dyDescent="0.25">
      <c r="A497" s="8" t="s">
        <v>1027</v>
      </c>
      <c r="B497" s="9" t="s">
        <v>99</v>
      </c>
      <c r="C497" s="9" t="s">
        <v>55</v>
      </c>
      <c r="D497" s="9">
        <v>2</v>
      </c>
      <c r="E497" s="9">
        <v>336.45</v>
      </c>
      <c r="F497" s="9">
        <v>672.9</v>
      </c>
      <c r="G497">
        <f t="shared" si="22"/>
        <v>673</v>
      </c>
      <c r="H497" s="10">
        <v>45354</v>
      </c>
      <c r="I497" s="16" t="str">
        <f t="shared" si="23"/>
        <v>Sunday</v>
      </c>
      <c r="J497" s="9" t="s">
        <v>13</v>
      </c>
      <c r="K497" s="9" t="s">
        <v>27</v>
      </c>
      <c r="L497" s="9" t="s">
        <v>981</v>
      </c>
      <c r="M497" s="16" t="str">
        <f t="shared" si="24"/>
        <v>low</v>
      </c>
    </row>
    <row r="498" spans="1:13" x14ac:dyDescent="0.25">
      <c r="A498" s="5" t="s">
        <v>1028</v>
      </c>
      <c r="B498" s="6" t="s">
        <v>26</v>
      </c>
      <c r="C498" s="6" t="s">
        <v>23</v>
      </c>
      <c r="D498" s="6">
        <v>5</v>
      </c>
      <c r="E498" s="6">
        <v>139.22</v>
      </c>
      <c r="F498" s="6">
        <v>696.1</v>
      </c>
      <c r="G498">
        <f t="shared" si="22"/>
        <v>697</v>
      </c>
      <c r="H498" s="7">
        <v>45638</v>
      </c>
      <c r="I498" s="16" t="str">
        <f t="shared" si="23"/>
        <v>Thursday</v>
      </c>
      <c r="J498" s="6" t="s">
        <v>18</v>
      </c>
      <c r="K498" s="6" t="s">
        <v>14</v>
      </c>
      <c r="L498" s="6" t="s">
        <v>1029</v>
      </c>
      <c r="M498" s="16" t="str">
        <f t="shared" si="24"/>
        <v>low</v>
      </c>
    </row>
    <row r="499" spans="1:13" x14ac:dyDescent="0.25">
      <c r="A499" s="8" t="s">
        <v>1030</v>
      </c>
      <c r="B499" s="9" t="s">
        <v>73</v>
      </c>
      <c r="C499" s="9" t="s">
        <v>59</v>
      </c>
      <c r="D499" s="9">
        <v>6</v>
      </c>
      <c r="E499" s="9">
        <v>119.26</v>
      </c>
      <c r="F499" s="9">
        <v>715.56</v>
      </c>
      <c r="G499">
        <f t="shared" si="22"/>
        <v>716</v>
      </c>
      <c r="H499" s="10">
        <v>44984</v>
      </c>
      <c r="I499" s="16" t="str">
        <f t="shared" si="23"/>
        <v>Monday</v>
      </c>
      <c r="J499" s="9" t="s">
        <v>48</v>
      </c>
      <c r="K499" s="9" t="s">
        <v>27</v>
      </c>
      <c r="L499" s="9" t="s">
        <v>1031</v>
      </c>
      <c r="M499" s="16" t="str">
        <f t="shared" si="24"/>
        <v>low</v>
      </c>
    </row>
    <row r="500" spans="1:13" x14ac:dyDescent="0.25">
      <c r="A500" s="5" t="s">
        <v>1032</v>
      </c>
      <c r="B500" s="6" t="s">
        <v>22</v>
      </c>
      <c r="C500" s="6" t="s">
        <v>23</v>
      </c>
      <c r="D500" s="6">
        <v>6</v>
      </c>
      <c r="E500" s="6">
        <v>336.4</v>
      </c>
      <c r="F500" s="6">
        <v>2018.4</v>
      </c>
      <c r="G500">
        <f t="shared" si="22"/>
        <v>2019</v>
      </c>
      <c r="H500" s="7">
        <v>45653</v>
      </c>
      <c r="I500" s="16" t="str">
        <f t="shared" si="23"/>
        <v>Friday</v>
      </c>
      <c r="J500" s="6" t="s">
        <v>31</v>
      </c>
      <c r="K500" s="6" t="s">
        <v>37</v>
      </c>
      <c r="L500" s="6" t="s">
        <v>1033</v>
      </c>
      <c r="M500" s="16" t="str">
        <f t="shared" si="24"/>
        <v>high</v>
      </c>
    </row>
    <row r="501" spans="1:13" x14ac:dyDescent="0.25">
      <c r="A501" s="11" t="s">
        <v>1034</v>
      </c>
      <c r="B501" s="1" t="s">
        <v>190</v>
      </c>
      <c r="C501" s="1" t="s">
        <v>23</v>
      </c>
      <c r="D501" s="1">
        <v>2</v>
      </c>
      <c r="E501" s="1">
        <v>184.66</v>
      </c>
      <c r="F501" s="1">
        <v>369.32</v>
      </c>
      <c r="G501">
        <f t="shared" si="22"/>
        <v>370</v>
      </c>
      <c r="H501" s="2">
        <v>45729</v>
      </c>
      <c r="I501" s="16" t="str">
        <f t="shared" si="23"/>
        <v>Thursday</v>
      </c>
      <c r="J501" s="1" t="s">
        <v>48</v>
      </c>
      <c r="K501" s="1" t="s">
        <v>19</v>
      </c>
      <c r="L501" s="1" t="s">
        <v>1035</v>
      </c>
      <c r="M501" s="16" t="str">
        <f t="shared" si="24"/>
        <v>low</v>
      </c>
    </row>
  </sheetData>
  <pageMargins left="0.7" right="0.7" top="0.75" bottom="0.75" header="0.3" footer="0.3"/>
  <pageSetup orientation="portrait"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3:AH11"/>
  <sheetViews>
    <sheetView topLeftCell="AC1" workbookViewId="0">
      <selection activeCell="AH7" sqref="AH7"/>
    </sheetView>
  </sheetViews>
  <sheetFormatPr defaultRowHeight="15" x14ac:dyDescent="0.25"/>
  <cols>
    <col min="1" max="1" width="13.140625" customWidth="1"/>
    <col min="2" max="2" width="15.42578125" customWidth="1"/>
    <col min="3" max="3" width="12.42578125" customWidth="1"/>
    <col min="4" max="4" width="11.7109375" customWidth="1"/>
    <col min="5" max="5" width="8.140625" customWidth="1"/>
    <col min="6" max="6" width="11.140625" customWidth="1"/>
    <col min="7" max="12" width="3" customWidth="1"/>
    <col min="13" max="13" width="13.140625" customWidth="1"/>
    <col min="14" max="14" width="18.140625" customWidth="1"/>
    <col min="15" max="16" width="6.140625" customWidth="1"/>
    <col min="17" max="17" width="5.7109375" customWidth="1"/>
    <col min="18" max="18" width="18.140625" customWidth="1"/>
    <col min="19" max="19" width="16.28515625" customWidth="1"/>
    <col min="20" max="20" width="8.28515625" customWidth="1"/>
    <col min="21" max="21" width="11.5703125" customWidth="1"/>
    <col min="22" max="22" width="9" customWidth="1"/>
    <col min="23" max="23" width="6.42578125" customWidth="1"/>
    <col min="24" max="24" width="8.7109375" customWidth="1"/>
    <col min="25" max="25" width="7.42578125" customWidth="1"/>
    <col min="26" max="26" width="11.28515625" customWidth="1"/>
    <col min="27" max="27" width="13.42578125" customWidth="1"/>
    <col min="28" max="28" width="15.85546875" customWidth="1"/>
    <col min="29" max="29" width="24.42578125" customWidth="1"/>
    <col min="30" max="30" width="15.5703125" customWidth="1"/>
    <col min="31" max="31" width="13.7109375" customWidth="1"/>
    <col min="32" max="32" width="4.28515625" customWidth="1"/>
    <col min="33" max="33" width="16.5703125" customWidth="1"/>
    <col min="34" max="34" width="16" customWidth="1"/>
    <col min="35" max="35" width="17" customWidth="1"/>
    <col min="36" max="36" width="8.42578125" customWidth="1"/>
    <col min="37" max="37" width="10.5703125" customWidth="1"/>
    <col min="38" max="38" width="11.85546875" customWidth="1"/>
    <col min="39" max="39" width="5" customWidth="1"/>
    <col min="40" max="40" width="11.28515625" customWidth="1"/>
    <col min="41" max="41" width="7.28515625" customWidth="1"/>
    <col min="42" max="42" width="8.140625" customWidth="1"/>
    <col min="43" max="43" width="4.5703125" customWidth="1"/>
    <col min="44" max="44" width="5.85546875" customWidth="1"/>
    <col min="45" max="45" width="7" customWidth="1"/>
    <col min="46" max="46" width="12.140625" customWidth="1"/>
    <col min="47" max="47" width="7.28515625" customWidth="1"/>
    <col min="48" max="48" width="6.42578125" customWidth="1"/>
    <col min="49" max="49" width="5.85546875" customWidth="1"/>
    <col min="50" max="50" width="5.7109375" customWidth="1"/>
    <col min="51" max="51" width="7" customWidth="1"/>
    <col min="52" max="52" width="8.42578125" customWidth="1"/>
    <col min="53" max="53" width="6.7109375" customWidth="1"/>
    <col min="54" max="54" width="7.7109375" customWidth="1"/>
    <col min="55" max="55" width="11.85546875" customWidth="1"/>
    <col min="56" max="56" width="11.42578125" customWidth="1"/>
    <col min="57" max="57" width="10.5703125" customWidth="1"/>
    <col min="58" max="58" width="8.28515625" customWidth="1"/>
    <col min="59" max="59" width="6.7109375" customWidth="1"/>
    <col min="60" max="60" width="5.28515625" customWidth="1"/>
    <col min="61" max="61" width="8.28515625" customWidth="1"/>
    <col min="62" max="62" width="7" customWidth="1"/>
    <col min="63" max="63" width="6.7109375" customWidth="1"/>
    <col min="64" max="64" width="11.28515625" customWidth="1"/>
    <col min="65" max="65" width="16" customWidth="1"/>
    <col min="66" max="66" width="26.28515625" customWidth="1"/>
    <col min="67" max="67" width="16" customWidth="1"/>
    <col min="68" max="68" width="26.28515625" customWidth="1"/>
    <col min="69" max="69" width="16" customWidth="1"/>
    <col min="70" max="70" width="26.28515625" customWidth="1"/>
    <col min="71" max="71" width="16" customWidth="1"/>
    <col min="72" max="72" width="26.28515625" customWidth="1"/>
    <col min="73" max="73" width="16" customWidth="1"/>
    <col min="74" max="74" width="26.28515625" customWidth="1"/>
    <col min="75" max="75" width="16" customWidth="1"/>
    <col min="76" max="76" width="26.28515625" customWidth="1"/>
    <col min="77" max="77" width="16" customWidth="1"/>
    <col min="78" max="78" width="26.28515625" customWidth="1"/>
    <col min="79" max="79" width="16" customWidth="1"/>
    <col min="80" max="80" width="26.28515625" customWidth="1"/>
    <col min="81" max="81" width="16" customWidth="1"/>
    <col min="82" max="82" width="26.28515625" customWidth="1"/>
    <col min="83" max="83" width="16" customWidth="1"/>
    <col min="84" max="84" width="26.28515625" customWidth="1"/>
    <col min="85" max="85" width="16" customWidth="1"/>
    <col min="86" max="86" width="26.28515625" customWidth="1"/>
    <col min="87" max="87" width="16" customWidth="1"/>
    <col min="88" max="88" width="26.28515625" customWidth="1"/>
    <col min="89" max="89" width="16" customWidth="1"/>
    <col min="90" max="90" width="26.28515625" customWidth="1"/>
    <col min="91" max="91" width="16" customWidth="1"/>
    <col min="92" max="92" width="26.28515625" customWidth="1"/>
    <col min="93" max="93" width="16" customWidth="1"/>
    <col min="94" max="94" width="31.28515625" customWidth="1"/>
    <col min="95" max="95" width="21" customWidth="1"/>
    <col min="96" max="99" width="7" customWidth="1"/>
    <col min="100" max="100" width="6" customWidth="1"/>
    <col min="101" max="105" width="7" customWidth="1"/>
    <col min="106" max="107" width="6" customWidth="1"/>
    <col min="108" max="112" width="7" customWidth="1"/>
    <col min="113" max="113" width="6" customWidth="1"/>
    <col min="114" max="114" width="7" customWidth="1"/>
    <col min="115" max="115" width="6" customWidth="1"/>
    <col min="116" max="116" width="7" customWidth="1"/>
    <col min="117" max="118" width="6" customWidth="1"/>
    <col min="119" max="120" width="7" customWidth="1"/>
    <col min="121" max="121" width="6" customWidth="1"/>
    <col min="122" max="122" width="7" customWidth="1"/>
    <col min="123" max="123" width="6" customWidth="1"/>
    <col min="124" max="132" width="7" customWidth="1"/>
    <col min="133" max="133" width="6" customWidth="1"/>
    <col min="134" max="139" width="7" customWidth="1"/>
    <col min="140" max="140" width="6" customWidth="1"/>
    <col min="141" max="141" width="7" customWidth="1"/>
    <col min="142" max="143" width="6" customWidth="1"/>
    <col min="144" max="150" width="7" customWidth="1"/>
    <col min="151" max="151" width="6" customWidth="1"/>
    <col min="152" max="154" width="7" customWidth="1"/>
    <col min="155" max="155" width="6" customWidth="1"/>
    <col min="156" max="160" width="7" customWidth="1"/>
    <col min="161" max="161" width="6" customWidth="1"/>
    <col min="162" max="174" width="7" customWidth="1"/>
    <col min="175" max="175" width="6" customWidth="1"/>
    <col min="176" max="178" width="7" customWidth="1"/>
    <col min="179" max="179" width="6" customWidth="1"/>
    <col min="180" max="181" width="7" customWidth="1"/>
    <col min="182" max="182" width="6" customWidth="1"/>
    <col min="183" max="196" width="7" customWidth="1"/>
    <col min="197" max="197" width="6" customWidth="1"/>
    <col min="198" max="199" width="7" customWidth="1"/>
    <col min="200" max="200" width="4" customWidth="1"/>
    <col min="201" max="202" width="7" customWidth="1"/>
    <col min="203" max="203" width="4" customWidth="1"/>
    <col min="204" max="205" width="7" customWidth="1"/>
    <col min="206" max="207" width="6" customWidth="1"/>
    <col min="208" max="209" width="7" customWidth="1"/>
    <col min="210" max="210" width="6" customWidth="1"/>
    <col min="211" max="211" width="7" customWidth="1"/>
    <col min="212" max="212" width="6" customWidth="1"/>
    <col min="213" max="214" width="7" customWidth="1"/>
    <col min="215" max="215" width="6" customWidth="1"/>
    <col min="216" max="222" width="7" customWidth="1"/>
    <col min="223" max="223" width="4" customWidth="1"/>
    <col min="224" max="224" width="6" customWidth="1"/>
    <col min="225" max="225" width="7" customWidth="1"/>
    <col min="226" max="226" width="6" customWidth="1"/>
    <col min="227" max="237" width="7" customWidth="1"/>
    <col min="238" max="239" width="6" customWidth="1"/>
    <col min="240" max="265" width="7" customWidth="1"/>
    <col min="266" max="266" width="4" customWidth="1"/>
    <col min="267" max="267" width="7" customWidth="1"/>
    <col min="268" max="268" width="8" customWidth="1"/>
    <col min="269" max="269" width="7" customWidth="1"/>
    <col min="270" max="270" width="8" customWidth="1"/>
    <col min="271" max="271" width="7" customWidth="1"/>
    <col min="272" max="277" width="8" customWidth="1"/>
    <col min="278" max="278" width="7" customWidth="1"/>
    <col min="279" max="286" width="8" customWidth="1"/>
    <col min="287" max="287" width="7" customWidth="1"/>
    <col min="288" max="288" width="8" customWidth="1"/>
    <col min="289" max="289" width="7" customWidth="1"/>
    <col min="290" max="299" width="8" customWidth="1"/>
    <col min="300" max="300" width="7" customWidth="1"/>
    <col min="301" max="302" width="8" customWidth="1"/>
    <col min="303" max="303" width="7" customWidth="1"/>
    <col min="304" max="305" width="8" customWidth="1"/>
    <col min="306" max="307" width="7" customWidth="1"/>
    <col min="308" max="310" width="8" customWidth="1"/>
    <col min="311" max="312" width="7" customWidth="1"/>
    <col min="313" max="313" width="5" customWidth="1"/>
    <col min="314" max="314" width="8" customWidth="1"/>
    <col min="315" max="316" width="7" customWidth="1"/>
    <col min="317" max="317" width="8" customWidth="1"/>
    <col min="318" max="318" width="7" customWidth="1"/>
    <col min="319" max="326" width="8" customWidth="1"/>
    <col min="327" max="327" width="7" customWidth="1"/>
    <col min="328" max="333" width="8" customWidth="1"/>
    <col min="334" max="334" width="7" customWidth="1"/>
    <col min="335" max="337" width="8" customWidth="1"/>
    <col min="338" max="338" width="7" customWidth="1"/>
    <col min="339" max="339" width="8" customWidth="1"/>
    <col min="340" max="340" width="7" customWidth="1"/>
    <col min="341" max="341" width="8" customWidth="1"/>
    <col min="342" max="342" width="5" customWidth="1"/>
    <col min="343" max="343" width="7" customWidth="1"/>
    <col min="344" max="347" width="8" customWidth="1"/>
    <col min="348" max="350" width="7" customWidth="1"/>
    <col min="351" max="352" width="8" customWidth="1"/>
    <col min="353" max="355" width="7" customWidth="1"/>
    <col min="356" max="356" width="8" customWidth="1"/>
    <col min="357" max="357" width="7" customWidth="1"/>
    <col min="358" max="365" width="8" customWidth="1"/>
    <col min="366" max="366" width="7" customWidth="1"/>
    <col min="367" max="372" width="8" customWidth="1"/>
    <col min="373" max="373" width="7" customWidth="1"/>
    <col min="374" max="374" width="5" customWidth="1"/>
    <col min="375" max="379" width="8" customWidth="1"/>
    <col min="380" max="380" width="7" customWidth="1"/>
    <col min="381" max="381" width="8" customWidth="1"/>
    <col min="382" max="382" width="7" customWidth="1"/>
    <col min="383" max="386" width="8" customWidth="1"/>
    <col min="387" max="387" width="7" customWidth="1"/>
    <col min="388" max="395" width="8" customWidth="1"/>
    <col min="396" max="396" width="7" customWidth="1"/>
    <col min="397" max="398" width="8" customWidth="1"/>
    <col min="399" max="399" width="7" customWidth="1"/>
    <col min="400" max="401" width="8" customWidth="1"/>
    <col min="402" max="402" width="7" customWidth="1"/>
    <col min="403" max="404" width="8" customWidth="1"/>
    <col min="405" max="405" width="7" customWidth="1"/>
    <col min="406" max="409" width="8" customWidth="1"/>
    <col min="410" max="410" width="5" customWidth="1"/>
    <col min="411" max="412" width="8" customWidth="1"/>
    <col min="413" max="413" width="7" customWidth="1"/>
    <col min="414" max="414" width="8" customWidth="1"/>
    <col min="415" max="415" width="7" customWidth="1"/>
    <col min="416" max="417" width="8" customWidth="1"/>
    <col min="418" max="418" width="7" customWidth="1"/>
    <col min="419" max="419" width="8" customWidth="1"/>
    <col min="420" max="421" width="7" customWidth="1"/>
    <col min="422" max="422" width="8" customWidth="1"/>
    <col min="423" max="423" width="7" customWidth="1"/>
    <col min="424" max="432" width="8" customWidth="1"/>
    <col min="433" max="433" width="5" customWidth="1"/>
    <col min="434" max="436" width="8" customWidth="1"/>
    <col min="437" max="437" width="7" customWidth="1"/>
    <col min="438" max="438" width="8" customWidth="1"/>
    <col min="439" max="439" width="7" customWidth="1"/>
    <col min="440" max="441" width="8" customWidth="1"/>
    <col min="442" max="442" width="7" customWidth="1"/>
    <col min="443" max="458" width="8" customWidth="1"/>
    <col min="459" max="459" width="5" customWidth="1"/>
    <col min="460" max="470" width="8" customWidth="1"/>
    <col min="471" max="471" width="7" customWidth="1"/>
    <col min="472" max="475" width="8" customWidth="1"/>
    <col min="476" max="476" width="7" customWidth="1"/>
    <col min="477" max="486" width="8" customWidth="1"/>
    <col min="487" max="487" width="5" customWidth="1"/>
    <col min="488" max="488" width="7" customWidth="1"/>
    <col min="489" max="491" width="8" customWidth="1"/>
    <col min="492" max="492" width="7" customWidth="1"/>
    <col min="493" max="493" width="8" customWidth="1"/>
    <col min="494" max="494" width="7" customWidth="1"/>
    <col min="495" max="495" width="8" customWidth="1"/>
    <col min="496" max="496" width="7" customWidth="1"/>
    <col min="497" max="497" width="8" customWidth="1"/>
    <col min="498" max="498" width="7" customWidth="1"/>
    <col min="499" max="499" width="8" customWidth="1"/>
    <col min="500" max="502" width="7" customWidth="1"/>
    <col min="503" max="511" width="8" customWidth="1"/>
    <col min="512" max="512" width="11.28515625" bestFit="1" customWidth="1"/>
  </cols>
  <sheetData>
    <row r="3" spans="1:34" x14ac:dyDescent="0.25">
      <c r="A3" s="19" t="s">
        <v>1055</v>
      </c>
      <c r="B3" t="s">
        <v>1064</v>
      </c>
      <c r="M3" s="19" t="s">
        <v>1055</v>
      </c>
      <c r="N3" t="s">
        <v>1065</v>
      </c>
      <c r="R3" s="19" t="s">
        <v>1065</v>
      </c>
      <c r="S3" s="19" t="s">
        <v>1057</v>
      </c>
      <c r="AB3" s="19" t="s">
        <v>1055</v>
      </c>
      <c r="AC3" t="s">
        <v>1066</v>
      </c>
    </row>
    <row r="4" spans="1:34" x14ac:dyDescent="0.25">
      <c r="A4" s="20" t="s">
        <v>59</v>
      </c>
      <c r="B4" s="22">
        <v>436</v>
      </c>
      <c r="M4" s="20" t="s">
        <v>13</v>
      </c>
      <c r="N4" s="23">
        <v>0.26400000000000001</v>
      </c>
      <c r="R4" s="19" t="s">
        <v>1055</v>
      </c>
      <c r="S4" t="s">
        <v>1047</v>
      </c>
      <c r="T4" t="s">
        <v>1058</v>
      </c>
      <c r="U4" t="s">
        <v>1059</v>
      </c>
      <c r="V4" t="s">
        <v>1060</v>
      </c>
      <c r="W4" t="s">
        <v>1061</v>
      </c>
      <c r="X4" t="s">
        <v>1062</v>
      </c>
      <c r="Y4" t="s">
        <v>1063</v>
      </c>
      <c r="Z4" t="s">
        <v>1056</v>
      </c>
      <c r="AB4" s="20" t="s">
        <v>27</v>
      </c>
      <c r="AC4" s="23">
        <v>0.28346456692913385</v>
      </c>
      <c r="AG4" s="19" t="s">
        <v>1055</v>
      </c>
      <c r="AH4" t="s">
        <v>1067</v>
      </c>
    </row>
    <row r="5" spans="1:34" x14ac:dyDescent="0.25">
      <c r="A5" s="20" t="s">
        <v>12</v>
      </c>
      <c r="B5" s="22">
        <v>349</v>
      </c>
      <c r="M5" s="20" t="s">
        <v>31</v>
      </c>
      <c r="N5" s="23">
        <v>0.26400000000000001</v>
      </c>
      <c r="R5" s="20" t="s">
        <v>59</v>
      </c>
      <c r="S5" s="22">
        <v>13</v>
      </c>
      <c r="T5" s="22">
        <v>11</v>
      </c>
      <c r="U5" s="22">
        <v>13</v>
      </c>
      <c r="V5" s="22">
        <v>9</v>
      </c>
      <c r="W5" s="22">
        <v>14</v>
      </c>
      <c r="X5" s="22">
        <v>18</v>
      </c>
      <c r="Y5" s="22">
        <v>8</v>
      </c>
      <c r="Z5" s="22">
        <v>86</v>
      </c>
      <c r="AB5" s="20" t="s">
        <v>19</v>
      </c>
      <c r="AC5" s="23">
        <v>0.28346456692913385</v>
      </c>
      <c r="AG5" s="20" t="s">
        <v>63</v>
      </c>
      <c r="AH5" s="22">
        <v>74</v>
      </c>
    </row>
    <row r="6" spans="1:34" x14ac:dyDescent="0.25">
      <c r="A6" s="20" t="s">
        <v>23</v>
      </c>
      <c r="B6" s="22">
        <v>415</v>
      </c>
      <c r="M6" s="20" t="s">
        <v>18</v>
      </c>
      <c r="N6" s="23">
        <v>0.218</v>
      </c>
      <c r="R6" s="20" t="s">
        <v>12</v>
      </c>
      <c r="S6" s="22">
        <v>9</v>
      </c>
      <c r="T6" s="22">
        <v>11</v>
      </c>
      <c r="U6" s="22">
        <v>12</v>
      </c>
      <c r="V6" s="22">
        <v>15</v>
      </c>
      <c r="W6" s="22">
        <v>9</v>
      </c>
      <c r="X6" s="22">
        <v>10</v>
      </c>
      <c r="Y6" s="22">
        <v>10</v>
      </c>
      <c r="Z6" s="22">
        <v>76</v>
      </c>
      <c r="AB6" s="20" t="s">
        <v>37</v>
      </c>
      <c r="AC6" s="23">
        <v>0.22047244094488189</v>
      </c>
      <c r="AG6" s="21" t="s">
        <v>62</v>
      </c>
      <c r="AH6" s="22">
        <v>13</v>
      </c>
    </row>
    <row r="7" spans="1:34" x14ac:dyDescent="0.25">
      <c r="A7" s="20" t="s">
        <v>55</v>
      </c>
      <c r="B7" s="22">
        <v>498</v>
      </c>
      <c r="M7" s="20" t="s">
        <v>48</v>
      </c>
      <c r="N7" s="23">
        <v>0.254</v>
      </c>
      <c r="R7" s="20" t="s">
        <v>23</v>
      </c>
      <c r="S7" s="22">
        <v>10</v>
      </c>
      <c r="T7" s="22">
        <v>13</v>
      </c>
      <c r="U7" s="22">
        <v>17</v>
      </c>
      <c r="V7" s="22">
        <v>12</v>
      </c>
      <c r="W7" s="22">
        <v>10</v>
      </c>
      <c r="X7" s="22">
        <v>15</v>
      </c>
      <c r="Y7" s="22">
        <v>9</v>
      </c>
      <c r="Z7" s="22">
        <v>86</v>
      </c>
      <c r="AB7" s="20" t="s">
        <v>14</v>
      </c>
      <c r="AC7" s="23">
        <v>0.2125984251968504</v>
      </c>
      <c r="AG7" s="21" t="s">
        <v>68</v>
      </c>
      <c r="AH7" s="22">
        <v>13</v>
      </c>
    </row>
    <row r="8" spans="1:34" x14ac:dyDescent="0.25">
      <c r="A8" s="20" t="s">
        <v>44</v>
      </c>
      <c r="B8" s="22">
        <v>384</v>
      </c>
      <c r="M8" s="20" t="s">
        <v>1056</v>
      </c>
      <c r="N8" s="23">
        <v>1</v>
      </c>
      <c r="R8" s="20" t="s">
        <v>55</v>
      </c>
      <c r="S8" s="22">
        <v>15</v>
      </c>
      <c r="T8" s="22">
        <v>11</v>
      </c>
      <c r="U8" s="22">
        <v>13</v>
      </c>
      <c r="V8" s="22">
        <v>19</v>
      </c>
      <c r="W8" s="22">
        <v>13</v>
      </c>
      <c r="X8" s="22">
        <v>16</v>
      </c>
      <c r="Y8" s="22">
        <v>17</v>
      </c>
      <c r="Z8" s="22">
        <v>104</v>
      </c>
      <c r="AB8" s="20" t="s">
        <v>1056</v>
      </c>
      <c r="AC8" s="23">
        <v>1</v>
      </c>
      <c r="AG8" s="21" t="s">
        <v>250</v>
      </c>
      <c r="AH8" s="22">
        <v>15</v>
      </c>
    </row>
    <row r="9" spans="1:34" x14ac:dyDescent="0.25">
      <c r="A9" s="20" t="s">
        <v>63</v>
      </c>
      <c r="B9" s="22">
        <v>379</v>
      </c>
      <c r="R9" s="20" t="s">
        <v>44</v>
      </c>
      <c r="S9" s="22">
        <v>12</v>
      </c>
      <c r="T9" s="22">
        <v>13</v>
      </c>
      <c r="U9" s="22">
        <v>10</v>
      </c>
      <c r="V9" s="22">
        <v>8</v>
      </c>
      <c r="W9" s="22">
        <v>9</v>
      </c>
      <c r="X9" s="22">
        <v>12</v>
      </c>
      <c r="Y9" s="22">
        <v>10</v>
      </c>
      <c r="Z9" s="22">
        <v>74</v>
      </c>
      <c r="AG9" s="21" t="s">
        <v>110</v>
      </c>
      <c r="AH9" s="22">
        <v>20</v>
      </c>
    </row>
    <row r="10" spans="1:34" x14ac:dyDescent="0.25">
      <c r="A10" s="20" t="s">
        <v>1056</v>
      </c>
      <c r="B10" s="22">
        <v>2461</v>
      </c>
      <c r="R10" s="20" t="s">
        <v>63</v>
      </c>
      <c r="S10" s="22">
        <v>10</v>
      </c>
      <c r="T10" s="22">
        <v>11</v>
      </c>
      <c r="U10" s="22">
        <v>7</v>
      </c>
      <c r="V10" s="22">
        <v>13</v>
      </c>
      <c r="W10" s="22">
        <v>16</v>
      </c>
      <c r="X10" s="22">
        <v>10</v>
      </c>
      <c r="Y10" s="22">
        <v>7</v>
      </c>
      <c r="Z10" s="22">
        <v>74</v>
      </c>
      <c r="AG10" s="21" t="s">
        <v>159</v>
      </c>
      <c r="AH10" s="22">
        <v>13</v>
      </c>
    </row>
    <row r="11" spans="1:34" x14ac:dyDescent="0.25">
      <c r="R11" s="20" t="s">
        <v>1056</v>
      </c>
      <c r="S11" s="22">
        <v>69</v>
      </c>
      <c r="T11" s="22">
        <v>70</v>
      </c>
      <c r="U11" s="22">
        <v>72</v>
      </c>
      <c r="V11" s="22">
        <v>76</v>
      </c>
      <c r="W11" s="22">
        <v>71</v>
      </c>
      <c r="X11" s="22">
        <v>81</v>
      </c>
      <c r="Y11" s="22">
        <v>61</v>
      </c>
      <c r="Z11" s="22">
        <v>500</v>
      </c>
      <c r="AG11" s="20" t="s">
        <v>1056</v>
      </c>
      <c r="AH11" s="22">
        <v>74</v>
      </c>
    </row>
  </sheetData>
  <pageMargins left="0.7" right="0.7" top="0.75" bottom="0.75" header="0.3" footer="0.3"/>
  <pageSetup orientation="portrait" r:id="rId6"/>
  <drawing r:id="rId7"/>
  <extLst>
    <ext xmlns:x14="http://schemas.microsoft.com/office/spreadsheetml/2009/9/main" uri="{A8765BA9-456A-4dab-B4F3-ACF838C121DE}">
      <x14:slicerList>
        <x14:slicer r:id="rId8"/>
      </x14:slicerList>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
  <sheetViews>
    <sheetView tabSelected="1" topLeftCell="A6" workbookViewId="0">
      <selection activeCell="T1" sqref="A1:T41"/>
    </sheetView>
  </sheetViews>
  <sheetFormatPr defaultRowHeight="15" x14ac:dyDescent="0.25"/>
  <sheetData/>
  <pageMargins left="0.7" right="0.7" top="0.75" bottom="0.75" header="0.3" footer="0.3"/>
  <pageSetup scale="66" orientation="landscape" r:id="rId1"/>
  <drawing r:id="rId2"/>
  <extLst>
    <ext xmlns:x14="http://schemas.microsoft.com/office/spreadsheetml/2009/9/main" uri="{A8765BA9-456A-4dab-B4F3-ACF838C121DE}">
      <x14:slicerList>
        <x14:slicer r:id="rId3"/>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3</vt:i4>
      </vt:variant>
      <vt:variant>
        <vt:lpstr>Named Ranges</vt:lpstr>
      </vt:variant>
      <vt:variant>
        <vt:i4>1</vt:i4>
      </vt:variant>
    </vt:vector>
  </HeadingPairs>
  <TitlesOfParts>
    <vt:vector size="4" baseType="lpstr">
      <vt:lpstr>data</vt:lpstr>
      <vt:lpstr>pivot table and chart</vt:lpstr>
      <vt:lpstr>dashboard</vt:lpstr>
      <vt:lpstr>dashboard!Print_Area</vt:lpstr>
    </vt:vector>
  </TitlesOfParts>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Katy</dc:creator>
  <cp:lastModifiedBy>ELCOT</cp:lastModifiedBy>
  <cp:lastPrinted>2025-11-01T13:45:41Z</cp:lastPrinted>
  <dcterms:created xsi:type="dcterms:W3CDTF">2015-06-05T18:17:20Z</dcterms:created>
  <dcterms:modified xsi:type="dcterms:W3CDTF">2025-11-01T18:44:18Z</dcterms:modified>
</cp:coreProperties>
</file>